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PI năm 2026 chuẩn\KPI hàng tháng\Tháng 04\"/>
    </mc:Choice>
  </mc:AlternateContent>
  <xr:revisionPtr revIDLastSave="0" documentId="13_ncr:1_{F068A787-4DF2-4A5D-8DE8-314D8B55FF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iám sát, Thuế" sheetId="1" r:id="rId1"/>
    <sheet name=" STQ, Đào tạo" sheetId="2" r:id="rId2"/>
    <sheet name="V. QLRR" sheetId="3" r:id="rId3"/>
    <sheet name="VI. CBL" sheetId="4" r:id="rId4"/>
    <sheet name="Truyền thông" sheetId="5" r:id="rId5"/>
  </sheets>
  <definedNames>
    <definedName name="_xlnm.Print_Area" localSheetId="0">'Giám sát, Thuế'!$B$1:$T$38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17" i="5" l="1"/>
  <c r="T17" i="5"/>
  <c r="N17" i="5"/>
  <c r="H17" i="5"/>
  <c r="Z16" i="5"/>
  <c r="T16" i="5"/>
  <c r="N16" i="5"/>
  <c r="H16" i="5"/>
  <c r="Z15" i="5"/>
  <c r="T15" i="5"/>
  <c r="N15" i="5"/>
  <c r="H15" i="5"/>
  <c r="Z14" i="5"/>
  <c r="T14" i="5"/>
  <c r="N14" i="5"/>
  <c r="H14" i="5"/>
  <c r="Z13" i="5"/>
  <c r="T13" i="5"/>
  <c r="N13" i="5"/>
  <c r="H13" i="5"/>
  <c r="Z12" i="5"/>
  <c r="T12" i="5"/>
  <c r="N12" i="5"/>
  <c r="H12" i="5"/>
  <c r="Z11" i="5"/>
  <c r="T11" i="5"/>
  <c r="N11" i="5"/>
  <c r="H11" i="5"/>
  <c r="Z10" i="5"/>
  <c r="T10" i="5"/>
  <c r="N10" i="5"/>
  <c r="H10" i="5"/>
  <c r="Z9" i="5"/>
  <c r="T9" i="5"/>
  <c r="N9" i="5"/>
  <c r="H9" i="5"/>
  <c r="Z8" i="5"/>
  <c r="T8" i="5"/>
  <c r="N8" i="5"/>
  <c r="H8" i="5"/>
  <c r="Z7" i="5"/>
  <c r="T7" i="5"/>
  <c r="N7" i="5"/>
  <c r="H7" i="5"/>
  <c r="Z6" i="5"/>
  <c r="T6" i="5"/>
  <c r="N6" i="5"/>
  <c r="H6" i="5"/>
  <c r="Z5" i="5"/>
  <c r="T5" i="5"/>
  <c r="N5" i="5"/>
  <c r="H5" i="5"/>
  <c r="AM21" i="4"/>
  <c r="U21" i="4"/>
  <c r="O21" i="4"/>
  <c r="AM20" i="4"/>
  <c r="U20" i="4"/>
  <c r="O20" i="4"/>
  <c r="AM19" i="4"/>
  <c r="U19" i="4"/>
  <c r="O19" i="4"/>
  <c r="AM18" i="4"/>
  <c r="U18" i="4"/>
  <c r="O18" i="4"/>
  <c r="AM17" i="4"/>
  <c r="U17" i="4"/>
  <c r="O17" i="4"/>
  <c r="AM16" i="4"/>
  <c r="U16" i="4"/>
  <c r="O16" i="4"/>
  <c r="I16" i="4"/>
  <c r="AM15" i="4"/>
  <c r="AA15" i="4"/>
  <c r="U15" i="4"/>
  <c r="O15" i="4"/>
  <c r="I15" i="4"/>
  <c r="AA11" i="4"/>
  <c r="AA10" i="4"/>
  <c r="O10" i="4"/>
  <c r="I10" i="4"/>
  <c r="AA9" i="4"/>
  <c r="O9" i="4"/>
  <c r="I9" i="4"/>
  <c r="AA8" i="4"/>
  <c r="O8" i="4"/>
  <c r="I8" i="4"/>
  <c r="AA7" i="4"/>
  <c r="O7" i="4"/>
  <c r="I7" i="4"/>
  <c r="AA6" i="4"/>
  <c r="U6" i="4"/>
  <c r="O6" i="4"/>
  <c r="I6" i="4"/>
  <c r="AG5" i="4"/>
  <c r="AA5" i="4"/>
  <c r="O5" i="4"/>
  <c r="I5" i="4"/>
  <c r="AA4" i="4"/>
  <c r="O4" i="4"/>
  <c r="I4" i="4"/>
  <c r="N15" i="3"/>
  <c r="H15" i="3"/>
  <c r="T14" i="3"/>
  <c r="T13" i="3"/>
  <c r="N13" i="3"/>
  <c r="H13" i="3"/>
  <c r="AF12" i="3"/>
  <c r="H12" i="3"/>
  <c r="AF11" i="3"/>
  <c r="Z11" i="3"/>
  <c r="N11" i="3"/>
  <c r="H11" i="3"/>
  <c r="AF10" i="3"/>
  <c r="Z10" i="3"/>
  <c r="T10" i="3"/>
  <c r="N10" i="3"/>
  <c r="H10" i="3"/>
  <c r="AF9" i="3"/>
  <c r="Z9" i="3"/>
  <c r="H9" i="3"/>
  <c r="AF8" i="3"/>
  <c r="Z8" i="3"/>
  <c r="T8" i="3"/>
  <c r="N8" i="3"/>
  <c r="H8" i="3"/>
  <c r="AF7" i="3"/>
  <c r="Z7" i="3"/>
  <c r="T7" i="3"/>
  <c r="N7" i="3"/>
  <c r="H7" i="3"/>
  <c r="T26" i="2"/>
  <c r="H23" i="2"/>
  <c r="N22" i="2"/>
  <c r="H22" i="2"/>
  <c r="L21" i="2"/>
  <c r="N21" i="2" s="1"/>
  <c r="H21" i="2"/>
  <c r="H20" i="2"/>
  <c r="H19" i="2"/>
  <c r="H18" i="2"/>
  <c r="H17" i="2"/>
  <c r="X11" i="2"/>
  <c r="X10" i="2"/>
  <c r="X9" i="2"/>
  <c r="R9" i="2"/>
  <c r="O9" i="2"/>
  <c r="H9" i="2"/>
  <c r="X8" i="2"/>
  <c r="O8" i="2"/>
  <c r="H8" i="2"/>
  <c r="X7" i="2"/>
  <c r="R7" i="2"/>
  <c r="O7" i="2"/>
  <c r="H7" i="2"/>
  <c r="X6" i="2"/>
  <c r="O6" i="2"/>
  <c r="H6" i="2"/>
  <c r="X5" i="2"/>
  <c r="O5" i="2"/>
  <c r="H5" i="2"/>
  <c r="O4" i="2"/>
  <c r="H4" i="2"/>
  <c r="M38" i="1"/>
  <c r="N38" i="1" s="1"/>
  <c r="L38" i="1"/>
  <c r="J38" i="1"/>
  <c r="I38" i="1"/>
  <c r="G38" i="1"/>
  <c r="F38" i="1"/>
  <c r="D38" i="1"/>
  <c r="C38" i="1"/>
  <c r="N37" i="1"/>
  <c r="N36" i="1"/>
  <c r="H36" i="1"/>
  <c r="N35" i="1"/>
  <c r="H35" i="1"/>
  <c r="N34" i="1"/>
  <c r="H34" i="1"/>
  <c r="N33" i="1"/>
  <c r="H33" i="1"/>
  <c r="N32" i="1"/>
  <c r="H32" i="1"/>
  <c r="T24" i="1"/>
  <c r="H24" i="1"/>
  <c r="N23" i="1"/>
  <c r="H23" i="1"/>
  <c r="N22" i="1"/>
  <c r="H22" i="1"/>
  <c r="T20" i="1"/>
  <c r="H20" i="1"/>
  <c r="T19" i="1"/>
  <c r="N19" i="1"/>
  <c r="H19" i="1"/>
  <c r="T18" i="1"/>
  <c r="N18" i="1"/>
  <c r="H18" i="1"/>
  <c r="T12" i="1"/>
  <c r="T11" i="1"/>
  <c r="N11" i="1"/>
  <c r="H11" i="1"/>
  <c r="T10" i="1"/>
  <c r="H10" i="1"/>
  <c r="T9" i="1"/>
  <c r="N9" i="1"/>
  <c r="T8" i="1"/>
  <c r="H8" i="1"/>
  <c r="T7" i="1"/>
  <c r="N7" i="1"/>
  <c r="T6" i="1"/>
  <c r="H6" i="1"/>
  <c r="H38" i="1" l="1"/>
  <c r="K38" i="1"/>
  <c r="E38" i="1"/>
</calcChain>
</file>

<file path=xl/sharedStrings.xml><?xml version="1.0" encoding="utf-8"?>
<sst xmlns="http://schemas.openxmlformats.org/spreadsheetml/2006/main" count="623" uniqueCount="147">
  <si>
    <t xml:space="preserve">RÀ SOÁT KẾT QUẢ THỰC HIỆN CHỈ TIÊU CỦA CÁC ĐƠN VỊ THUỘC CHI CỤC TÍNH ĐẾN HẾT THÁNG 4 NĂM 2026
</t>
  </si>
  <si>
    <t xml:space="preserve">I. </t>
  </si>
  <si>
    <t>Công tác Giám sát quản lý (Theo KH số 24/KH-HQKV8 ngày 06/01/2026)</t>
  </si>
  <si>
    <t>Đơn vị</t>
  </si>
  <si>
    <t>Chỉ tiêu 1
 kim ngạch XNK (không gồm KNQ, TNTX) (ĐVT triệu USD)</t>
  </si>
  <si>
    <t>Chỉ tiêu 2
 Tăng doanh nghiệp (ĐVT: Số doanh nghiệp)</t>
  </si>
  <si>
    <t>Chỉ tiêu 3
Hội nghị đối thoại, tham vấn doanh nghiệp
(ĐVT: Số hội nghị)</t>
  </si>
  <si>
    <t>Đăng ký tháng 4</t>
  </si>
  <si>
    <t>Kết quả thực hiện</t>
  </si>
  <si>
    <t>Đánh giá</t>
  </si>
  <si>
    <t>Chỉ tiêu giao năm 2026</t>
  </si>
  <si>
    <t>Lũy kế thực hiện năm 2026</t>
  </si>
  <si>
    <t>Đạt%</t>
  </si>
  <si>
    <t>Móng Cái</t>
  </si>
  <si>
    <t>Đạt 142%</t>
  </si>
  <si>
    <t>Đạt 99%</t>
  </si>
  <si>
    <t>2227 DN làm thủ tục</t>
  </si>
  <si>
    <t>Không đăng ký</t>
  </si>
  <si>
    <t>Hòn Gai</t>
  </si>
  <si>
    <t>Đạt 118%</t>
  </si>
  <si>
    <t>Đạt 2450%</t>
  </si>
  <si>
    <t>Vượt 100%</t>
  </si>
  <si>
    <t>Cẩm Phả</t>
  </si>
  <si>
    <t>Vượt chỉ tiêu</t>
  </si>
  <si>
    <t>151 DN làm thủ tục</t>
  </si>
  <si>
    <t>Vạn Gia</t>
  </si>
  <si>
    <t>Không giao chỉ tiêu</t>
  </si>
  <si>
    <t>Đạt 100%</t>
  </si>
  <si>
    <t>Hoành Mô</t>
  </si>
  <si>
    <t>Bắc Phong Sinh</t>
  </si>
  <si>
    <t>Phòng Nghiệp vụ</t>
  </si>
  <si>
    <t>Chỉ tiêu 4
Rà soát, đề xuất cắt giảm thủ tục, mặt hàng Kiểm tra chuyên ngành 
(ĐVT: Mặt hàng)</t>
  </si>
  <si>
    <t>Chỉ tiêu 5
Phát hiện vi phạm khai báo sai XX, giả mạo nhãn mác, VP SHTT.
(ĐVT: Số vụ)</t>
  </si>
  <si>
    <t>Chỉ tiêu 6
Đề xuất thông tin dấu hiệu vi phạm cung cấp KTSTQ DN GC, SXXK, CX vi phạm</t>
  </si>
  <si>
    <t>Đạt 300%</t>
  </si>
  <si>
    <t>PT&amp;KTSTQ</t>
  </si>
  <si>
    <t>II.</t>
  </si>
  <si>
    <t>Công tác Thuế XNK (Theo Kế hoạch số 306/KH-HQKV8 ngày 23/01/2026 và Kế hoạch số 1342/KH-HQKV8 ngày 03/4/2026)</t>
  </si>
  <si>
    <t>STT</t>
  </si>
  <si>
    <t>Chỉ tiêu năm 2026 (18.300 tỷ đồng)</t>
  </si>
  <si>
    <t>Chỉ tiêu năm 2026 (25.000 tỷ)</t>
  </si>
  <si>
    <t>Kết quả thực hiện tháng 4</t>
  </si>
  <si>
    <t>Đạt 59%</t>
  </si>
  <si>
    <t>Đạt 52%</t>
  </si>
  <si>
    <t>Đạt 81%</t>
  </si>
  <si>
    <t>Tổng</t>
  </si>
  <si>
    <t xml:space="preserve">III. </t>
  </si>
  <si>
    <t>Công tác KTSTQ (Theo KH số 251 ngày 20/01/2026 và Công văn số 851 ngày 09/3/2026 )</t>
  </si>
  <si>
    <t>Chỉ tiêu I:
Số cuộc kiêm tra sau thông quan</t>
  </si>
  <si>
    <t>Chỉ tiêu II:
Số thu NSNN ( triệu đồng)</t>
  </si>
  <si>
    <t>Chỉ tiêu III:
Tỷ lệ phát hiện vi phạm</t>
  </si>
  <si>
    <t>Chỉ tiêu IV:
Phiếu cung cấp thông tin phục vụ KTSTQ</t>
  </si>
  <si>
    <t>Chỉ tiêu giao năm 2026 (5000 triệu đồng)</t>
  </si>
  <si>
    <t>Chỉ tiêu giao phần đấunăm 2026 (35000 triệu đồng)</t>
  </si>
  <si>
    <t>Đạt% so với phấn đấu</t>
  </si>
  <si>
    <t>PT và KTSTQ</t>
  </si>
  <si>
    <t>Đạt 133%</t>
  </si>
  <si>
    <t>Đạt 150%</t>
  </si>
  <si>
    <t>Đạt 50%</t>
  </si>
  <si>
    <t>Chưa đạt</t>
  </si>
  <si>
    <t>Đạt 400%</t>
  </si>
  <si>
    <t>Đã thực hiện T3</t>
  </si>
  <si>
    <t>NVHQ</t>
  </si>
  <si>
    <t>QLRR</t>
  </si>
  <si>
    <t>IV.</t>
  </si>
  <si>
    <t>Công tác đào tạo, tập huấn (Theo KH số 91/KH-HQKV8 ngày 09/01/2026)</t>
  </si>
  <si>
    <t>Số lớp tập huấn năm 2026</t>
  </si>
  <si>
    <t>Số lượt người tham gia</t>
  </si>
  <si>
    <t>Ghi chú</t>
  </si>
  <si>
    <t xml:space="preserve"> Cẩm Phả</t>
  </si>
  <si>
    <t>Đội PT và KTSTQ</t>
  </si>
  <si>
    <t>V. Công tác QLRR (QĐ số 51, 56/QĐ-HQKV8 ngày 15,16/01/2026)</t>
  </si>
  <si>
    <t xml:space="preserve"> Số hồ sơ DN trọng điểm căn cứ theo Phiếu CCTT của đơn vị được LĐ Chi cục phê duyệt 
(thực hiện/giao)</t>
  </si>
  <si>
    <t xml:space="preserve">Số tiêu chí phân tích áp dụng căn cứ theo Phiếu cung cấp thông tin của đơn vị được LĐ Cục phê duyệt </t>
  </si>
  <si>
    <t>Số lượng DN được giao thu thập năm 2026</t>
  </si>
  <si>
    <t xml:space="preserve">Lũy kế thực hiện (Doanh nghiệp)  </t>
  </si>
  <si>
    <t>Lũy kế thực hiện (Mặt hàng)</t>
  </si>
  <si>
    <t>Cục Hải quan giao</t>
  </si>
  <si>
    <t>Chi cục Hải quan khu vực VIII giao bổ sung (Dn phát sinh &gt;=3 tk qua địa bàn tỉnh năm 2025)</t>
  </si>
  <si>
    <t>Đạt 245%</t>
  </si>
  <si>
    <t>Đạt 266%</t>
  </si>
  <si>
    <t>Đạt 28.5%</t>
  </si>
  <si>
    <t>Đạt 193%</t>
  </si>
  <si>
    <t>KTSTQ</t>
  </si>
  <si>
    <t>Phòng NVHQ</t>
  </si>
  <si>
    <t>Đội Kiểm soát HQ</t>
  </si>
  <si>
    <t>VI. Công tác kiểm soát CBL (Theo Kế hoạch số 15/KH-HQKV8 ngày 25/02/2026 của Chi cục Hải quan khu vực VIII)</t>
  </si>
  <si>
    <t>TT</t>
  </si>
  <si>
    <t>Số vụ chủ trì bắt giữ</t>
  </si>
  <si>
    <t>Số vụ phối hợp bắt giữ</t>
  </si>
  <si>
    <t xml:space="preserve">  Tổng trị giá chủ trì bắt giữ
(Triệu đồng)</t>
  </si>
  <si>
    <t>Số thu NSNN từ xử phạt VPHQ (bao gồm phạt về CBL và TTHQ)</t>
  </si>
  <si>
    <t xml:space="preserve"> HQ  Khởi tố (vụ)</t>
  </si>
  <si>
    <t>Chỉ tiêu năm</t>
  </si>
  <si>
    <t>Chỉ tiêu năm đăng ký</t>
  </si>
  <si>
    <t>Đạt</t>
  </si>
  <si>
    <t>ĐỘI KSHQ</t>
  </si>
  <si>
    <t>MC</t>
  </si>
  <si>
    <t>Không giao</t>
  </si>
  <si>
    <t>Đạt 103%</t>
  </si>
  <si>
    <t>HM</t>
  </si>
  <si>
    <t>BPS</t>
  </si>
  <si>
    <t>HG</t>
  </si>
  <si>
    <t>CP</t>
  </si>
  <si>
    <t>VG</t>
  </si>
  <si>
    <t xml:space="preserve">Đơn vị </t>
  </si>
  <si>
    <t xml:space="preserve">    Kiến nghị khởi tố (vụ)</t>
  </si>
  <si>
    <t>Hồ sơ ĐTNCTH</t>
  </si>
  <si>
    <t>Hồ sơ sưu tra</t>
  </si>
  <si>
    <t>Xây dựng cơ sở bí mật</t>
  </si>
  <si>
    <t>Hồ sơ chuyên án</t>
  </si>
  <si>
    <t>Tuần tra hải quan</t>
  </si>
  <si>
    <t xml:space="preserve">
THỐNG KÊ TIN, BÀI CÁC ĐƠN VỊ TRÊN CỔNG TTĐT, DDCI, ISEC
Năm 2026
</t>
  </si>
  <si>
    <t>ĐƠN VỊ</t>
  </si>
  <si>
    <t>Tin, bài đăng tải trên website Cục</t>
  </si>
  <si>
    <t>Tin bài trên Fanpage DDCI Quảng Ninh</t>
  </si>
  <si>
    <t>Tin bài trên Fanpage DDCI Hải quan</t>
  </si>
  <si>
    <t>Tin bài trên ISEC</t>
  </si>
  <si>
    <t>CHỈ TIÊU THÁNG 4</t>
  </si>
  <si>
    <t>LŨY KẾ</t>
  </si>
  <si>
    <t>KẾT QUẢ THƯC HIỆN</t>
  </si>
  <si>
    <t xml:space="preserve">ĐÁNH GIÁ </t>
  </si>
  <si>
    <t>CHỈ TIÊU NĂM</t>
  </si>
  <si>
    <t>LŨY KẾ
đến 30/4</t>
  </si>
  <si>
    <t xml:space="preserve">TỶ LỆ SO CHỈ TIÊU NĂM
</t>
  </si>
  <si>
    <t>CHỈ TIÊU THÁNG</t>
  </si>
  <si>
    <t>Đạt 145%</t>
  </si>
  <si>
    <t>Đạt 550%</t>
  </si>
  <si>
    <t>Đạt 200%</t>
  </si>
  <si>
    <t>Đạt 500%</t>
  </si>
  <si>
    <t>Đat 200%</t>
  </si>
  <si>
    <t>Đạt 700%</t>
  </si>
  <si>
    <t>Đội KSHQ</t>
  </si>
  <si>
    <t>Đạt 125%</t>
  </si>
  <si>
    <t>Phòng QLRR</t>
  </si>
  <si>
    <t>Phòng CNTT</t>
  </si>
  <si>
    <t>Phòng TCCB</t>
  </si>
  <si>
    <t>Văn phòng</t>
  </si>
  <si>
    <t>Đạt 116%</t>
  </si>
  <si>
    <t>Đạt 375%</t>
  </si>
  <si>
    <t>Đạt 275%</t>
  </si>
  <si>
    <t>Đạt 166%</t>
  </si>
  <si>
    <t>Chưa thực hiện</t>
  </si>
  <si>
    <t>Đat 100%</t>
  </si>
  <si>
    <t>Đạt 120%</t>
  </si>
  <si>
    <t>Đã thực hiện trong tháng 3</t>
  </si>
  <si>
    <t>Tăng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</si>
</sst>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\-??_);_(@_)"/>
    <numFmt numFmtId="165" formatCode="_-* #,##0.00\ _₫_-;\-* #,##0.00\ _₫_-;_-* \-??\ _₫_-;_-@_-"/>
    <numFmt numFmtId="166" formatCode="_-* #,##0_-;\-* #,##0_-;_-* \-??_-;_-@_-"/>
    <numFmt numFmtId="167" formatCode="_(* #,##0_);_(* \(#,##0\);_(* \-??_);_(@_)"/>
    <numFmt numFmtId="168" formatCode="0.0%"/>
    <numFmt numFmtId="169" formatCode="_-* #,##0.0_-;\-* #,##0.0_-;_-* \-??_-;_-@_-"/>
    <numFmt numFmtId="170" formatCode="_-* #,##0.00_-;\-* #,##0.00_-;_-* \-??_-;_-@_-"/>
  </numFmts>
  <fonts count="31" x14ac:knownFonts="1"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B050"/>
      <name val="Times New Roman"/>
      <family val="1"/>
      <charset val="163"/>
    </font>
    <font>
      <sz val="11"/>
      <color rgb="FF00B050"/>
      <name val="Arial"/>
      <family val="2"/>
      <charset val="163"/>
    </font>
    <font>
      <sz val="12"/>
      <color rgb="FF00B050"/>
      <name val="Times New Roman"/>
      <family val="1"/>
      <charset val="1"/>
    </font>
    <font>
      <sz val="11"/>
      <color rgb="FF00B050"/>
      <name val="Times New Roman"/>
      <family val="1"/>
      <charset val="1"/>
    </font>
    <font>
      <sz val="12"/>
      <color rgb="FF00B050"/>
      <name val="Times New Roman"/>
      <family val="1"/>
      <charset val="163"/>
    </font>
    <font>
      <sz val="12"/>
      <color rgb="FF00B050"/>
      <name val="Arial"/>
      <family val="2"/>
      <charset val="163"/>
    </font>
    <font>
      <b/>
      <sz val="11"/>
      <color rgb="FF00B050"/>
      <name val="Times New Roman"/>
      <family val="1"/>
      <charset val="163"/>
    </font>
    <font>
      <sz val="11"/>
      <color rgb="FF00B050"/>
      <name val="Arial"/>
      <family val="2"/>
      <charset val="1"/>
    </font>
    <font>
      <sz val="12"/>
      <color rgb="FF00B050"/>
      <name val="Arial"/>
      <family val="2"/>
      <charset val="1"/>
    </font>
    <font>
      <b/>
      <sz val="11"/>
      <color rgb="FF00B050"/>
      <name val="Times New Roman"/>
      <family val="1"/>
      <charset val="1"/>
    </font>
    <font>
      <sz val="12"/>
      <color rgb="FF00B050"/>
      <name val="Times New Roman"/>
      <family val="1"/>
    </font>
    <font>
      <sz val="11"/>
      <color rgb="FF00B050"/>
      <name val="Times New Roman"/>
      <family val="1"/>
    </font>
    <font>
      <b/>
      <sz val="16"/>
      <color rgb="FF00B050"/>
      <name val="Times New Roman"/>
      <family val="1"/>
    </font>
    <font>
      <b/>
      <sz val="11"/>
      <color rgb="FF00B050"/>
      <name val="Times New Roman"/>
      <family val="1"/>
    </font>
    <font>
      <b/>
      <sz val="10.5"/>
      <color rgb="FF00B050"/>
      <name val="Times New Roman"/>
      <family val="1"/>
    </font>
    <font>
      <i/>
      <sz val="11"/>
      <color rgb="FF00B050"/>
      <name val="Times New Roman"/>
      <family val="1"/>
    </font>
    <font>
      <b/>
      <sz val="14"/>
      <color rgb="FF00B050"/>
      <name val="Times New Roman"/>
      <family val="1"/>
      <charset val="1"/>
    </font>
    <font>
      <b/>
      <sz val="12"/>
      <color rgb="FF00B050"/>
      <name val="Times New Roman"/>
      <family val="1"/>
    </font>
    <font>
      <b/>
      <sz val="12"/>
      <color rgb="FF00B050"/>
      <name val="Times New Roman"/>
      <family val="1"/>
      <charset val="1"/>
    </font>
    <font>
      <b/>
      <sz val="16"/>
      <color rgb="FF00B05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1" fillId="0" borderId="0"/>
    <xf numFmtId="165" fontId="10" fillId="0" borderId="0"/>
    <xf numFmtId="164" fontId="2" fillId="0" borderId="0"/>
    <xf numFmtId="164" fontId="10" fillId="0" borderId="0"/>
    <xf numFmtId="165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9" fontId="2" fillId="0" borderId="0"/>
  </cellStyleXfs>
  <cellXfs count="160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10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/>
    <xf numFmtId="0" fontId="0" fillId="0" borderId="0" xfId="0" applyAlignment="1">
      <alignment vertical="top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 vertical="center" wrapText="1"/>
    </xf>
    <xf numFmtId="0" fontId="14" fillId="0" borderId="0" xfId="0" applyFont="1"/>
    <xf numFmtId="9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166" fontId="13" fillId="0" borderId="1" xfId="1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 wrapText="1"/>
    </xf>
    <xf numFmtId="167" fontId="13" fillId="0" borderId="1" xfId="1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4" fillId="0" borderId="1" xfId="0" applyFont="1" applyFill="1" applyBorder="1" applyAlignment="1">
      <alignment horizontal="center" vertical="center"/>
    </xf>
    <xf numFmtId="0" fontId="18" fillId="0" borderId="0" xfId="0" applyFont="1" applyFill="1"/>
    <xf numFmtId="0" fontId="19" fillId="0" borderId="0" xfId="0" applyFont="1"/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9" fontId="13" fillId="0" borderId="1" xfId="0" applyNumberFormat="1" applyFont="1" applyFill="1" applyBorder="1" applyAlignment="1">
      <alignment horizontal="center" vertical="center" wrapText="1"/>
    </xf>
    <xf numFmtId="0" fontId="19" fillId="0" borderId="0" xfId="0" applyFont="1" applyFill="1"/>
    <xf numFmtId="9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10" fontId="13" fillId="0" borderId="1" xfId="0" applyNumberFormat="1" applyFont="1" applyFill="1" applyBorder="1" applyAlignment="1">
      <alignment horizontal="center" vertical="center" wrapText="1"/>
    </xf>
    <xf numFmtId="166" fontId="13" fillId="0" borderId="1" xfId="10" applyNumberFormat="1" applyFont="1" applyFill="1" applyBorder="1" applyAlignment="1">
      <alignment horizontal="center" vertical="center"/>
    </xf>
    <xf numFmtId="169" fontId="13" fillId="0" borderId="1" xfId="10" applyNumberFormat="1" applyFont="1" applyFill="1" applyBorder="1" applyAlignment="1">
      <alignment horizontal="left" vertical="center"/>
    </xf>
    <xf numFmtId="167" fontId="13" fillId="0" borderId="1" xfId="10" applyNumberFormat="1" applyFont="1" applyFill="1" applyBorder="1" applyAlignment="1">
      <alignment horizontal="center" vertical="center" wrapText="1"/>
    </xf>
    <xf numFmtId="10" fontId="13" fillId="0" borderId="1" xfId="0" applyNumberFormat="1" applyFont="1" applyFill="1" applyBorder="1" applyAlignment="1">
      <alignment horizontal="center" vertical="center"/>
    </xf>
    <xf numFmtId="0" fontId="14" fillId="0" borderId="0" xfId="0" applyFont="1" applyFill="1"/>
    <xf numFmtId="0" fontId="13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168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0" fontId="13" fillId="0" borderId="1" xfId="1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/>
    </xf>
    <xf numFmtId="0" fontId="22" fillId="0" borderId="0" xfId="0" applyFont="1"/>
    <xf numFmtId="9" fontId="14" fillId="0" borderId="1" xfId="0" applyNumberFormat="1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 vertical="center"/>
    </xf>
    <xf numFmtId="170" fontId="13" fillId="0" borderId="1" xfId="10" applyNumberFormat="1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 wrapText="1"/>
    </xf>
    <xf numFmtId="168" fontId="14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0" xfId="0" applyFont="1" applyFill="1"/>
    <xf numFmtId="0" fontId="23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9" fontId="22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9" fontId="22" fillId="0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9" fontId="21" fillId="0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10" fontId="29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9" fillId="0" borderId="4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</cellXfs>
  <cellStyles count="11">
    <cellStyle name="Comma 2" xfId="1" xr:uid="{00000000-0005-0000-0000-000006000000}"/>
    <cellStyle name="Comma 3" xfId="2" xr:uid="{00000000-0005-0000-0000-000007000000}"/>
    <cellStyle name="Comma 4" xfId="3" xr:uid="{00000000-0005-0000-0000-000008000000}"/>
    <cellStyle name="Comma 7" xfId="4" xr:uid="{00000000-0005-0000-0000-000009000000}"/>
    <cellStyle name="Comma 7 2" xfId="5" xr:uid="{00000000-0005-0000-0000-00000A000000}"/>
    <cellStyle name="Normal" xfId="0" builtinId="0"/>
    <cellStyle name="Normal 2" xfId="6" xr:uid="{00000000-0005-0000-0000-00000B000000}"/>
    <cellStyle name="Normal 2 2" xfId="7" xr:uid="{00000000-0005-0000-0000-00000C000000}"/>
    <cellStyle name="Normal 3" xfId="8" xr:uid="{00000000-0005-0000-0000-00000D000000}"/>
    <cellStyle name="Normal 7" xfId="9" xr:uid="{00000000-0005-0000-0000-00000E000000}"/>
    <cellStyle name="Percent 2" xfId="10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zoomScale="90" zoomScaleNormal="90" workbookViewId="0">
      <selection activeCell="J49" activeCellId="1" sqref="H35 J49"/>
    </sheetView>
  </sheetViews>
  <sheetFormatPr defaultColWidth="8.75" defaultRowHeight="15" x14ac:dyDescent="0.25"/>
  <cols>
    <col min="1" max="1" width="4.375" style="22" customWidth="1"/>
    <col min="2" max="2" width="12.625" style="22" customWidth="1"/>
    <col min="3" max="3" width="8.125" style="22" customWidth="1"/>
    <col min="4" max="4" width="11.875" style="22" customWidth="1"/>
    <col min="5" max="5" width="11.125" style="22" bestFit="1" customWidth="1"/>
    <col min="6" max="6" width="11.75" style="22" customWidth="1"/>
    <col min="7" max="7" width="13.625" style="22" customWidth="1"/>
    <col min="8" max="8" width="8.875" style="22" customWidth="1"/>
    <col min="9" max="9" width="11.375" style="22" customWidth="1"/>
    <col min="10" max="10" width="11.875" style="22" customWidth="1"/>
    <col min="11" max="11" width="8.875" style="22" customWidth="1"/>
    <col min="12" max="12" width="11.75" style="22" customWidth="1"/>
    <col min="13" max="13" width="13.625" style="22" customWidth="1"/>
    <col min="14" max="14" width="9.125" style="22" customWidth="1"/>
    <col min="15" max="15" width="8.125" style="22" customWidth="1"/>
    <col min="16" max="16" width="9" style="22" customWidth="1"/>
    <col min="17" max="17" width="11.125" style="22" customWidth="1"/>
    <col min="18" max="18" width="8.75" style="22"/>
    <col min="19" max="19" width="11.375" style="22" customWidth="1"/>
    <col min="20" max="20" width="9.125" style="22" customWidth="1"/>
    <col min="21" max="16384" width="8.75" style="22"/>
  </cols>
  <sheetData>
    <row r="1" spans="1:20" ht="20.25" customHeight="1" x14ac:dyDescent="0.25">
      <c r="A1" s="151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</row>
    <row r="2" spans="1:20" ht="18.75" customHeight="1" x14ac:dyDescent="0.25">
      <c r="B2" s="152"/>
      <c r="C2" s="152"/>
      <c r="D2" s="152"/>
      <c r="F2" s="152"/>
      <c r="G2" s="152"/>
      <c r="H2" s="152"/>
      <c r="I2" s="152"/>
      <c r="K2" s="152"/>
      <c r="L2" s="152"/>
      <c r="M2" s="152"/>
      <c r="N2" s="152"/>
      <c r="P2" s="152"/>
      <c r="Q2" s="152"/>
      <c r="R2" s="152"/>
      <c r="S2" s="152"/>
    </row>
    <row r="3" spans="1:20" ht="36.75" customHeight="1" x14ac:dyDescent="0.25">
      <c r="A3" s="150" t="s">
        <v>1</v>
      </c>
      <c r="B3" s="153" t="s">
        <v>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</row>
    <row r="4" spans="1:20" ht="74.25" customHeight="1" x14ac:dyDescent="0.25">
      <c r="A4" s="149"/>
      <c r="B4" s="148" t="s">
        <v>3</v>
      </c>
      <c r="C4" s="154" t="s">
        <v>4</v>
      </c>
      <c r="D4" s="154"/>
      <c r="E4" s="154"/>
      <c r="F4" s="154"/>
      <c r="G4" s="154"/>
      <c r="H4" s="154"/>
      <c r="I4" s="154" t="s">
        <v>5</v>
      </c>
      <c r="J4" s="154"/>
      <c r="K4" s="154"/>
      <c r="L4" s="154"/>
      <c r="M4" s="154"/>
      <c r="N4" s="154"/>
      <c r="O4" s="154" t="s">
        <v>6</v>
      </c>
      <c r="P4" s="154"/>
      <c r="Q4" s="154"/>
      <c r="R4" s="154"/>
      <c r="S4" s="154"/>
      <c r="T4" s="154"/>
    </row>
    <row r="5" spans="1:20" s="157" customFormat="1" ht="47.25" customHeight="1" x14ac:dyDescent="0.25">
      <c r="A5" s="149"/>
      <c r="B5" s="149"/>
      <c r="C5" s="150" t="s">
        <v>7</v>
      </c>
      <c r="D5" s="150" t="s">
        <v>8</v>
      </c>
      <c r="E5" s="150" t="s">
        <v>9</v>
      </c>
      <c r="F5" s="155" t="s">
        <v>10</v>
      </c>
      <c r="G5" s="155" t="s">
        <v>11</v>
      </c>
      <c r="H5" s="156" t="s">
        <v>12</v>
      </c>
      <c r="I5" s="150" t="s">
        <v>7</v>
      </c>
      <c r="J5" s="150" t="s">
        <v>8</v>
      </c>
      <c r="K5" s="155" t="s">
        <v>9</v>
      </c>
      <c r="L5" s="155" t="s">
        <v>10</v>
      </c>
      <c r="M5" s="155" t="s">
        <v>11</v>
      </c>
      <c r="N5" s="156" t="s">
        <v>12</v>
      </c>
      <c r="O5" s="150" t="s">
        <v>7</v>
      </c>
      <c r="P5" s="150" t="s">
        <v>8</v>
      </c>
      <c r="Q5" s="155" t="s">
        <v>9</v>
      </c>
      <c r="R5" s="155" t="s">
        <v>10</v>
      </c>
      <c r="S5" s="155" t="s">
        <v>11</v>
      </c>
      <c r="T5" s="156" t="s">
        <v>12</v>
      </c>
    </row>
    <row r="6" spans="1:20" ht="31.5" customHeight="1" x14ac:dyDescent="0.25">
      <c r="A6" s="19">
        <v>1</v>
      </c>
      <c r="B6" s="20" t="s">
        <v>13</v>
      </c>
      <c r="C6" s="20">
        <v>482</v>
      </c>
      <c r="D6" s="20">
        <v>684</v>
      </c>
      <c r="E6" s="20" t="s">
        <v>14</v>
      </c>
      <c r="F6" s="20">
        <v>6695.6</v>
      </c>
      <c r="G6" s="20">
        <v>2118</v>
      </c>
      <c r="H6" s="21">
        <f>G6/F6</f>
        <v>0.31632714021148217</v>
      </c>
      <c r="I6" s="20">
        <v>196</v>
      </c>
      <c r="J6" s="20">
        <v>194</v>
      </c>
      <c r="K6" s="20" t="s">
        <v>15</v>
      </c>
      <c r="L6" s="20" t="s">
        <v>16</v>
      </c>
      <c r="M6" s="20">
        <v>1395</v>
      </c>
      <c r="N6" s="21">
        <v>0.63</v>
      </c>
      <c r="O6" s="38" t="s">
        <v>17</v>
      </c>
      <c r="P6" s="38"/>
      <c r="Q6" s="38"/>
      <c r="R6" s="20">
        <v>2</v>
      </c>
      <c r="S6" s="20">
        <v>2</v>
      </c>
      <c r="T6" s="21">
        <f t="shared" ref="T6:T12" si="0">S6/R6</f>
        <v>1</v>
      </c>
    </row>
    <row r="7" spans="1:20" ht="15.75" customHeight="1" x14ac:dyDescent="0.25">
      <c r="A7" s="19">
        <v>2</v>
      </c>
      <c r="B7" s="20" t="s">
        <v>18</v>
      </c>
      <c r="C7" s="20">
        <v>1100</v>
      </c>
      <c r="D7" s="20">
        <v>1300</v>
      </c>
      <c r="E7" s="20" t="s">
        <v>19</v>
      </c>
      <c r="F7" s="20" t="s">
        <v>146</v>
      </c>
      <c r="G7" s="20">
        <v>5200</v>
      </c>
      <c r="H7" s="21">
        <v>0.38100000000000001</v>
      </c>
      <c r="I7" s="20">
        <v>2</v>
      </c>
      <c r="J7" s="20">
        <v>49</v>
      </c>
      <c r="K7" s="20" t="s">
        <v>20</v>
      </c>
      <c r="L7" s="20">
        <v>50</v>
      </c>
      <c r="M7" s="20">
        <v>99</v>
      </c>
      <c r="N7" s="21">
        <f>M7/L7</f>
        <v>1.98</v>
      </c>
      <c r="O7" s="20">
        <v>0</v>
      </c>
      <c r="P7" s="20">
        <v>1</v>
      </c>
      <c r="Q7" s="20" t="s">
        <v>21</v>
      </c>
      <c r="R7" s="20">
        <v>2</v>
      </c>
      <c r="S7" s="20">
        <v>3</v>
      </c>
      <c r="T7" s="21">
        <f t="shared" si="0"/>
        <v>1.5</v>
      </c>
    </row>
    <row r="8" spans="1:20" ht="31.5" customHeight="1" x14ac:dyDescent="0.25">
      <c r="A8" s="19">
        <v>3</v>
      </c>
      <c r="B8" s="20" t="s">
        <v>22</v>
      </c>
      <c r="C8" s="20">
        <v>280</v>
      </c>
      <c r="D8" s="20">
        <v>444.5</v>
      </c>
      <c r="E8" s="20" t="s">
        <v>23</v>
      </c>
      <c r="F8" s="20">
        <v>3235</v>
      </c>
      <c r="G8" s="20">
        <v>1177.5</v>
      </c>
      <c r="H8" s="21">
        <f>G8/F8</f>
        <v>0.36398763523956723</v>
      </c>
      <c r="I8" s="20">
        <v>10</v>
      </c>
      <c r="J8" s="20">
        <v>12</v>
      </c>
      <c r="K8" s="20" t="s">
        <v>23</v>
      </c>
      <c r="L8" s="20" t="s">
        <v>24</v>
      </c>
      <c r="M8" s="20">
        <v>101</v>
      </c>
      <c r="N8" s="21">
        <v>0.58940000000000003</v>
      </c>
      <c r="O8" s="68" t="s">
        <v>17</v>
      </c>
      <c r="P8" s="82"/>
      <c r="Q8" s="83"/>
      <c r="R8" s="20">
        <v>2</v>
      </c>
      <c r="S8" s="20">
        <v>1</v>
      </c>
      <c r="T8" s="21">
        <f t="shared" si="0"/>
        <v>0.5</v>
      </c>
    </row>
    <row r="9" spans="1:20" ht="28.5" customHeight="1" x14ac:dyDescent="0.25">
      <c r="A9" s="19">
        <v>4</v>
      </c>
      <c r="B9" s="20" t="s">
        <v>25</v>
      </c>
      <c r="C9" s="38" t="s">
        <v>26</v>
      </c>
      <c r="D9" s="38"/>
      <c r="E9" s="38"/>
      <c r="F9" s="38"/>
      <c r="G9" s="38"/>
      <c r="H9" s="38"/>
      <c r="I9" s="38" t="s">
        <v>17</v>
      </c>
      <c r="J9" s="38"/>
      <c r="K9" s="38"/>
      <c r="L9" s="20">
        <v>1</v>
      </c>
      <c r="M9" s="20">
        <v>0</v>
      </c>
      <c r="N9" s="21">
        <f>M9/L9</f>
        <v>0</v>
      </c>
      <c r="O9" s="68" t="s">
        <v>17</v>
      </c>
      <c r="P9" s="82"/>
      <c r="Q9" s="83"/>
      <c r="R9" s="20">
        <v>2</v>
      </c>
      <c r="S9" s="56">
        <v>1</v>
      </c>
      <c r="T9" s="21">
        <f t="shared" si="0"/>
        <v>0.5</v>
      </c>
    </row>
    <row r="10" spans="1:20" ht="15.75" customHeight="1" x14ac:dyDescent="0.25">
      <c r="A10" s="19">
        <v>5</v>
      </c>
      <c r="B10" s="20" t="s">
        <v>28</v>
      </c>
      <c r="C10" s="20">
        <v>6.2</v>
      </c>
      <c r="D10" s="20">
        <v>12.8</v>
      </c>
      <c r="E10" s="20" t="s">
        <v>23</v>
      </c>
      <c r="F10" s="20">
        <v>80</v>
      </c>
      <c r="G10" s="20">
        <v>36.700000000000003</v>
      </c>
      <c r="H10" s="21">
        <f>G10/F10</f>
        <v>0.45875000000000005</v>
      </c>
      <c r="I10" s="20" t="s">
        <v>17</v>
      </c>
      <c r="J10" s="20">
        <v>26</v>
      </c>
      <c r="K10" s="20" t="s">
        <v>23</v>
      </c>
      <c r="L10" s="20">
        <v>5</v>
      </c>
      <c r="M10" s="20">
        <v>46</v>
      </c>
      <c r="N10" s="21">
        <v>8.1999999999999993</v>
      </c>
      <c r="O10" s="68" t="s">
        <v>17</v>
      </c>
      <c r="P10" s="82"/>
      <c r="Q10" s="83"/>
      <c r="R10" s="20">
        <v>2</v>
      </c>
      <c r="S10" s="56">
        <v>1</v>
      </c>
      <c r="T10" s="21">
        <f t="shared" si="0"/>
        <v>0.5</v>
      </c>
    </row>
    <row r="11" spans="1:20" ht="31.5" customHeight="1" x14ac:dyDescent="0.25">
      <c r="A11" s="19">
        <v>6</v>
      </c>
      <c r="B11" s="20" t="s">
        <v>29</v>
      </c>
      <c r="C11" s="20">
        <v>3.25</v>
      </c>
      <c r="D11" s="20">
        <v>11.01</v>
      </c>
      <c r="E11" s="20" t="s">
        <v>23</v>
      </c>
      <c r="F11" s="20">
        <v>101</v>
      </c>
      <c r="G11" s="20">
        <v>29.85</v>
      </c>
      <c r="H11" s="21">
        <f>G11/F11</f>
        <v>0.29554455445544559</v>
      </c>
      <c r="I11" s="20">
        <v>1</v>
      </c>
      <c r="J11" s="20">
        <v>5</v>
      </c>
      <c r="K11" s="20" t="s">
        <v>23</v>
      </c>
      <c r="L11" s="20">
        <v>64</v>
      </c>
      <c r="M11" s="20">
        <v>46</v>
      </c>
      <c r="N11" s="21">
        <f>M11/L11</f>
        <v>0.71875</v>
      </c>
      <c r="O11" s="38" t="s">
        <v>17</v>
      </c>
      <c r="P11" s="38"/>
      <c r="Q11" s="38"/>
      <c r="R11" s="20">
        <v>2</v>
      </c>
      <c r="S11" s="20">
        <v>1</v>
      </c>
      <c r="T11" s="21">
        <f t="shared" si="0"/>
        <v>0.5</v>
      </c>
    </row>
    <row r="12" spans="1:20" s="67" customFormat="1" ht="27.75" customHeight="1" x14ac:dyDescent="0.25">
      <c r="A12" s="54">
        <v>7</v>
      </c>
      <c r="B12" s="56" t="s">
        <v>30</v>
      </c>
      <c r="C12" s="55" t="s">
        <v>26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6">
        <v>1</v>
      </c>
      <c r="P12" s="56">
        <v>1</v>
      </c>
      <c r="Q12" s="56" t="s">
        <v>27</v>
      </c>
      <c r="R12" s="56">
        <v>2</v>
      </c>
      <c r="S12" s="56">
        <v>1</v>
      </c>
      <c r="T12" s="62">
        <f t="shared" si="0"/>
        <v>0.5</v>
      </c>
    </row>
    <row r="13" spans="1:20" ht="27.75" customHeight="1" x14ac:dyDescent="0.25">
      <c r="A13" s="25"/>
      <c r="B13" s="146"/>
      <c r="C13" s="146"/>
      <c r="D13" s="146"/>
      <c r="E13" s="25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</row>
    <row r="14" spans="1:20" ht="27.75" customHeight="1" x14ac:dyDescent="0.25">
      <c r="A14" s="25"/>
      <c r="B14" s="146"/>
      <c r="C14" s="146"/>
      <c r="D14" s="146"/>
      <c r="E14" s="25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</row>
    <row r="15" spans="1:20" ht="27.75" customHeight="1" x14ac:dyDescent="0.25">
      <c r="A15" s="19"/>
      <c r="B15" s="153" t="s">
        <v>2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</row>
    <row r="16" spans="1:20" s="24" customFormat="1" ht="67.5" customHeight="1" x14ac:dyDescent="0.2">
      <c r="A16" s="158" t="s">
        <v>1</v>
      </c>
      <c r="B16" s="148" t="s">
        <v>3</v>
      </c>
      <c r="C16" s="154" t="s">
        <v>31</v>
      </c>
      <c r="D16" s="154"/>
      <c r="E16" s="154"/>
      <c r="F16" s="154"/>
      <c r="G16" s="154"/>
      <c r="H16" s="154"/>
      <c r="I16" s="154" t="s">
        <v>32</v>
      </c>
      <c r="J16" s="154"/>
      <c r="K16" s="154"/>
      <c r="L16" s="154"/>
      <c r="M16" s="154"/>
      <c r="N16" s="154"/>
      <c r="O16" s="154" t="s">
        <v>33</v>
      </c>
      <c r="P16" s="154"/>
      <c r="Q16" s="154"/>
      <c r="R16" s="154"/>
      <c r="S16" s="154"/>
      <c r="T16" s="154"/>
    </row>
    <row r="17" spans="1:20" s="24" customFormat="1" ht="60.75" customHeight="1" x14ac:dyDescent="0.2">
      <c r="A17" s="158"/>
      <c r="B17" s="148"/>
      <c r="C17" s="155" t="s">
        <v>7</v>
      </c>
      <c r="D17" s="155" t="s">
        <v>8</v>
      </c>
      <c r="E17" s="155" t="s">
        <v>9</v>
      </c>
      <c r="F17" s="155" t="s">
        <v>10</v>
      </c>
      <c r="G17" s="155" t="s">
        <v>11</v>
      </c>
      <c r="H17" s="156" t="s">
        <v>12</v>
      </c>
      <c r="I17" s="155" t="s">
        <v>7</v>
      </c>
      <c r="J17" s="155" t="s">
        <v>8</v>
      </c>
      <c r="K17" s="155" t="s">
        <v>9</v>
      </c>
      <c r="L17" s="155" t="s">
        <v>10</v>
      </c>
      <c r="M17" s="155" t="s">
        <v>11</v>
      </c>
      <c r="N17" s="155" t="s">
        <v>12</v>
      </c>
      <c r="O17" s="155" t="s">
        <v>7</v>
      </c>
      <c r="P17" s="155" t="s">
        <v>8</v>
      </c>
      <c r="Q17" s="155" t="s">
        <v>9</v>
      </c>
      <c r="R17" s="155" t="s">
        <v>10</v>
      </c>
      <c r="S17" s="155" t="s">
        <v>11</v>
      </c>
      <c r="T17" s="155" t="s">
        <v>12</v>
      </c>
    </row>
    <row r="18" spans="1:20" s="24" customFormat="1" ht="33" customHeight="1" x14ac:dyDescent="0.2">
      <c r="A18" s="19">
        <v>1</v>
      </c>
      <c r="B18" s="20" t="s">
        <v>13</v>
      </c>
      <c r="C18" s="40" t="s">
        <v>17</v>
      </c>
      <c r="D18" s="40"/>
      <c r="E18" s="40"/>
      <c r="F18" s="19">
        <v>3</v>
      </c>
      <c r="G18" s="19">
        <v>5</v>
      </c>
      <c r="H18" s="23">
        <f>G18/F18</f>
        <v>1.6666666666666667</v>
      </c>
      <c r="I18" s="19">
        <v>0</v>
      </c>
      <c r="J18" s="19">
        <v>1</v>
      </c>
      <c r="K18" s="20" t="s">
        <v>21</v>
      </c>
      <c r="L18" s="19">
        <v>10</v>
      </c>
      <c r="M18" s="19">
        <v>4</v>
      </c>
      <c r="N18" s="23">
        <f>M18/L18</f>
        <v>0.4</v>
      </c>
      <c r="O18" s="40" t="s">
        <v>17</v>
      </c>
      <c r="P18" s="40"/>
      <c r="Q18" s="40"/>
      <c r="R18" s="19">
        <v>2</v>
      </c>
      <c r="S18" s="19">
        <v>0</v>
      </c>
      <c r="T18" s="19">
        <f>S18/R18</f>
        <v>0</v>
      </c>
    </row>
    <row r="19" spans="1:20" s="24" customFormat="1" ht="32.25" customHeight="1" x14ac:dyDescent="0.2">
      <c r="A19" s="19">
        <v>2</v>
      </c>
      <c r="B19" s="20" t="s">
        <v>18</v>
      </c>
      <c r="C19" s="19">
        <v>1</v>
      </c>
      <c r="D19" s="19">
        <v>3</v>
      </c>
      <c r="E19" s="20" t="s">
        <v>23</v>
      </c>
      <c r="F19" s="19">
        <v>1</v>
      </c>
      <c r="G19" s="19">
        <v>3</v>
      </c>
      <c r="H19" s="23">
        <f>G19/F19</f>
        <v>3</v>
      </c>
      <c r="I19" s="19">
        <v>0</v>
      </c>
      <c r="J19" s="19">
        <v>1</v>
      </c>
      <c r="K19" s="20" t="s">
        <v>21</v>
      </c>
      <c r="L19" s="19">
        <v>5</v>
      </c>
      <c r="M19" s="19">
        <v>4</v>
      </c>
      <c r="N19" s="23">
        <f>M19/L19</f>
        <v>0.8</v>
      </c>
      <c r="O19" s="19">
        <v>1</v>
      </c>
      <c r="P19" s="19">
        <v>3</v>
      </c>
      <c r="Q19" s="20" t="s">
        <v>34</v>
      </c>
      <c r="R19" s="19">
        <v>3</v>
      </c>
      <c r="S19" s="19">
        <v>5</v>
      </c>
      <c r="T19" s="94">
        <f>S19/R19</f>
        <v>1.6666666666666667</v>
      </c>
    </row>
    <row r="20" spans="1:20" s="24" customFormat="1" ht="27.75" customHeight="1" x14ac:dyDescent="0.2">
      <c r="A20" s="19">
        <v>3</v>
      </c>
      <c r="B20" s="20" t="s">
        <v>22</v>
      </c>
      <c r="C20" s="19">
        <v>1</v>
      </c>
      <c r="D20" s="19">
        <v>1</v>
      </c>
      <c r="E20" s="20" t="s">
        <v>27</v>
      </c>
      <c r="F20" s="19">
        <v>1</v>
      </c>
      <c r="G20" s="19">
        <v>1</v>
      </c>
      <c r="H20" s="23">
        <f>G20/F20</f>
        <v>1</v>
      </c>
      <c r="I20" s="40" t="s">
        <v>26</v>
      </c>
      <c r="J20" s="40"/>
      <c r="K20" s="40"/>
      <c r="L20" s="40"/>
      <c r="M20" s="40"/>
      <c r="N20" s="40"/>
      <c r="O20" s="40" t="s">
        <v>17</v>
      </c>
      <c r="P20" s="40"/>
      <c r="Q20" s="40"/>
      <c r="R20" s="19">
        <v>1</v>
      </c>
      <c r="S20" s="19">
        <v>0</v>
      </c>
      <c r="T20" s="19">
        <f>S20/R20</f>
        <v>0</v>
      </c>
    </row>
    <row r="21" spans="1:20" s="24" customFormat="1" ht="27.75" customHeight="1" x14ac:dyDescent="0.2">
      <c r="A21" s="19">
        <v>4</v>
      </c>
      <c r="B21" s="20" t="s">
        <v>25</v>
      </c>
      <c r="C21" s="40" t="s">
        <v>26</v>
      </c>
      <c r="D21" s="40"/>
      <c r="E21" s="40"/>
      <c r="F21" s="40"/>
      <c r="G21" s="40"/>
      <c r="H21" s="40"/>
      <c r="I21" s="40" t="s">
        <v>26</v>
      </c>
      <c r="J21" s="40"/>
      <c r="K21" s="40"/>
      <c r="L21" s="40"/>
      <c r="M21" s="40"/>
      <c r="N21" s="40"/>
      <c r="O21" s="40" t="s">
        <v>26</v>
      </c>
      <c r="P21" s="40"/>
      <c r="Q21" s="40"/>
      <c r="R21" s="40"/>
      <c r="S21" s="40"/>
      <c r="T21" s="40"/>
    </row>
    <row r="22" spans="1:20" s="24" customFormat="1" ht="27.75" customHeight="1" x14ac:dyDescent="0.2">
      <c r="A22" s="19">
        <v>5</v>
      </c>
      <c r="B22" s="20" t="s">
        <v>28</v>
      </c>
      <c r="C22" s="40" t="s">
        <v>17</v>
      </c>
      <c r="D22" s="40"/>
      <c r="E22" s="40"/>
      <c r="F22" s="19">
        <v>2</v>
      </c>
      <c r="G22" s="19">
        <v>2</v>
      </c>
      <c r="H22" s="23">
        <f>G22/F22</f>
        <v>1</v>
      </c>
      <c r="I22" s="54">
        <v>1</v>
      </c>
      <c r="J22" s="54">
        <v>1</v>
      </c>
      <c r="K22" s="56" t="s">
        <v>27</v>
      </c>
      <c r="L22" s="19">
        <v>5</v>
      </c>
      <c r="M22" s="19">
        <v>3</v>
      </c>
      <c r="N22" s="23">
        <f>M22/L22</f>
        <v>0.6</v>
      </c>
      <c r="O22" s="40" t="s">
        <v>26</v>
      </c>
      <c r="P22" s="40"/>
      <c r="Q22" s="40"/>
      <c r="R22" s="40"/>
      <c r="S22" s="40"/>
      <c r="T22" s="40"/>
    </row>
    <row r="23" spans="1:20" s="24" customFormat="1" ht="27.75" customHeight="1" x14ac:dyDescent="0.2">
      <c r="A23" s="19">
        <v>6</v>
      </c>
      <c r="B23" s="20" t="s">
        <v>29</v>
      </c>
      <c r="C23" s="40" t="s">
        <v>17</v>
      </c>
      <c r="D23" s="40"/>
      <c r="E23" s="40"/>
      <c r="F23" s="19">
        <v>1</v>
      </c>
      <c r="G23" s="54">
        <v>1</v>
      </c>
      <c r="H23" s="23">
        <f>G23/F23</f>
        <v>1</v>
      </c>
      <c r="I23" s="40" t="s">
        <v>17</v>
      </c>
      <c r="J23" s="40"/>
      <c r="K23" s="40"/>
      <c r="L23" s="19">
        <v>1</v>
      </c>
      <c r="M23" s="54">
        <v>1</v>
      </c>
      <c r="N23" s="23">
        <f>M23/L23</f>
        <v>1</v>
      </c>
      <c r="O23" s="40" t="s">
        <v>26</v>
      </c>
      <c r="P23" s="40"/>
      <c r="Q23" s="40"/>
      <c r="R23" s="40"/>
      <c r="S23" s="40"/>
      <c r="T23" s="40"/>
    </row>
    <row r="24" spans="1:20" s="61" customFormat="1" ht="27.75" customHeight="1" x14ac:dyDescent="0.2">
      <c r="A24" s="54">
        <v>7</v>
      </c>
      <c r="B24" s="56" t="s">
        <v>35</v>
      </c>
      <c r="C24" s="55" t="s">
        <v>17</v>
      </c>
      <c r="D24" s="55"/>
      <c r="E24" s="55"/>
      <c r="F24" s="54">
        <v>1</v>
      </c>
      <c r="G24" s="54">
        <v>0</v>
      </c>
      <c r="H24" s="59">
        <f>G24/F24</f>
        <v>0</v>
      </c>
      <c r="I24" s="60" t="s">
        <v>26</v>
      </c>
      <c r="J24" s="60"/>
      <c r="K24" s="60"/>
      <c r="L24" s="60"/>
      <c r="M24" s="60"/>
      <c r="N24" s="60"/>
      <c r="O24" s="60" t="s">
        <v>17</v>
      </c>
      <c r="P24" s="60"/>
      <c r="Q24" s="60"/>
      <c r="R24" s="54">
        <v>3</v>
      </c>
      <c r="S24" s="54">
        <v>0</v>
      </c>
      <c r="T24" s="54">
        <f>S24/R24</f>
        <v>0</v>
      </c>
    </row>
    <row r="28" spans="1:20" ht="39.75" customHeight="1" x14ac:dyDescent="0.25">
      <c r="A28" s="150" t="s">
        <v>36</v>
      </c>
      <c r="B28" s="149" t="s">
        <v>37</v>
      </c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25"/>
      <c r="P28" s="25"/>
      <c r="Q28" s="25"/>
      <c r="R28" s="25"/>
      <c r="S28" s="25"/>
      <c r="T28" s="25"/>
    </row>
    <row r="29" spans="1:20" ht="56.25" customHeight="1" x14ac:dyDescent="0.25">
      <c r="A29" s="149" t="s">
        <v>38</v>
      </c>
      <c r="B29" s="149" t="s">
        <v>3</v>
      </c>
      <c r="C29" s="149" t="s">
        <v>39</v>
      </c>
      <c r="D29" s="149"/>
      <c r="E29" s="149"/>
      <c r="F29" s="149"/>
      <c r="G29" s="149"/>
      <c r="H29" s="149"/>
      <c r="I29" s="149" t="s">
        <v>40</v>
      </c>
      <c r="J29" s="149"/>
      <c r="K29" s="149"/>
      <c r="L29" s="149"/>
      <c r="M29" s="149"/>
      <c r="N29" s="149"/>
      <c r="O29" s="25"/>
      <c r="P29" s="25"/>
      <c r="Q29" s="25"/>
      <c r="R29" s="25"/>
      <c r="S29" s="25"/>
      <c r="T29" s="25"/>
    </row>
    <row r="30" spans="1:20" ht="44.25" customHeight="1" x14ac:dyDescent="0.25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25"/>
      <c r="P30" s="25"/>
      <c r="Q30" s="25"/>
      <c r="R30" s="25"/>
      <c r="S30" s="25"/>
      <c r="T30" s="25"/>
    </row>
    <row r="31" spans="1:20" ht="44.25" customHeight="1" x14ac:dyDescent="0.25">
      <c r="A31" s="149"/>
      <c r="B31" s="149"/>
      <c r="C31" s="150" t="s">
        <v>7</v>
      </c>
      <c r="D31" s="150" t="s">
        <v>41</v>
      </c>
      <c r="E31" s="150" t="s">
        <v>9</v>
      </c>
      <c r="F31" s="150" t="s">
        <v>10</v>
      </c>
      <c r="G31" s="150" t="s">
        <v>11</v>
      </c>
      <c r="H31" s="150" t="s">
        <v>12</v>
      </c>
      <c r="I31" s="150" t="s">
        <v>7</v>
      </c>
      <c r="J31" s="150" t="s">
        <v>41</v>
      </c>
      <c r="K31" s="150" t="s">
        <v>9</v>
      </c>
      <c r="L31" s="150" t="s">
        <v>10</v>
      </c>
      <c r="M31" s="150" t="s">
        <v>11</v>
      </c>
      <c r="N31" s="150" t="s">
        <v>12</v>
      </c>
      <c r="O31" s="25"/>
      <c r="P31" s="25"/>
      <c r="Q31" s="25"/>
      <c r="R31" s="25"/>
      <c r="S31" s="25"/>
      <c r="T31" s="25"/>
    </row>
    <row r="32" spans="1:20" ht="15.75" customHeight="1" x14ac:dyDescent="0.25">
      <c r="A32" s="20">
        <v>1</v>
      </c>
      <c r="B32" s="20" t="s">
        <v>18</v>
      </c>
      <c r="C32" s="20">
        <v>611</v>
      </c>
      <c r="D32" s="20">
        <v>358</v>
      </c>
      <c r="E32" s="20" t="s">
        <v>42</v>
      </c>
      <c r="F32" s="20">
        <v>6885</v>
      </c>
      <c r="G32" s="20">
        <v>2444</v>
      </c>
      <c r="H32" s="21">
        <f>G32/F32</f>
        <v>0.35497458242556279</v>
      </c>
      <c r="I32" s="20">
        <v>682</v>
      </c>
      <c r="J32" s="20">
        <v>358</v>
      </c>
      <c r="K32" s="20" t="s">
        <v>43</v>
      </c>
      <c r="L32" s="20">
        <v>8970</v>
      </c>
      <c r="M32" s="20">
        <v>2444</v>
      </c>
      <c r="N32" s="21">
        <f t="shared" ref="N32:N38" si="1">M32/L32</f>
        <v>0.27246376811594203</v>
      </c>
      <c r="O32" s="25"/>
      <c r="P32" s="25"/>
      <c r="Q32" s="25"/>
      <c r="R32" s="25"/>
      <c r="S32" s="25"/>
      <c r="T32" s="25"/>
    </row>
    <row r="33" spans="1:20" ht="15.75" customHeight="1" x14ac:dyDescent="0.25">
      <c r="A33" s="20">
        <v>2</v>
      </c>
      <c r="B33" s="20" t="s">
        <v>22</v>
      </c>
      <c r="C33" s="20">
        <v>706</v>
      </c>
      <c r="D33" s="20">
        <v>964</v>
      </c>
      <c r="E33" s="20" t="s">
        <v>23</v>
      </c>
      <c r="F33" s="20">
        <v>7790</v>
      </c>
      <c r="G33" s="20">
        <v>2525</v>
      </c>
      <c r="H33" s="21">
        <f>G33/F33</f>
        <v>0.32413350449293965</v>
      </c>
      <c r="I33" s="20">
        <v>878</v>
      </c>
      <c r="J33" s="20">
        <v>964</v>
      </c>
      <c r="K33" s="20" t="s">
        <v>23</v>
      </c>
      <c r="L33" s="20">
        <v>9780</v>
      </c>
      <c r="M33" s="20">
        <v>2525</v>
      </c>
      <c r="N33" s="21">
        <f t="shared" si="1"/>
        <v>0.25817995910020453</v>
      </c>
      <c r="O33" s="25"/>
      <c r="P33" s="25"/>
      <c r="Q33" s="25"/>
      <c r="R33" s="25"/>
      <c r="S33" s="25"/>
      <c r="T33" s="25"/>
    </row>
    <row r="34" spans="1:20" ht="15.75" customHeight="1" x14ac:dyDescent="0.25">
      <c r="A34" s="20">
        <v>3</v>
      </c>
      <c r="B34" s="20" t="s">
        <v>13</v>
      </c>
      <c r="C34" s="20">
        <v>274</v>
      </c>
      <c r="D34" s="20">
        <v>455</v>
      </c>
      <c r="E34" s="20" t="s">
        <v>141</v>
      </c>
      <c r="F34" s="20">
        <v>3500</v>
      </c>
      <c r="G34" s="20">
        <v>1246.46</v>
      </c>
      <c r="H34" s="21">
        <f>G34/F34</f>
        <v>0.3561314285714286</v>
      </c>
      <c r="I34" s="20">
        <v>561</v>
      </c>
      <c r="J34" s="20">
        <v>455</v>
      </c>
      <c r="K34" s="20" t="s">
        <v>44</v>
      </c>
      <c r="L34" s="20">
        <v>6000</v>
      </c>
      <c r="M34" s="20">
        <v>1246.46</v>
      </c>
      <c r="N34" s="21">
        <f t="shared" si="1"/>
        <v>0.20774333333333334</v>
      </c>
      <c r="O34" s="25"/>
      <c r="P34" s="25"/>
      <c r="Q34" s="25"/>
      <c r="R34" s="25"/>
      <c r="S34" s="25"/>
      <c r="T34" s="25"/>
    </row>
    <row r="35" spans="1:20" ht="15.75" customHeight="1" x14ac:dyDescent="0.25">
      <c r="A35" s="20">
        <v>4</v>
      </c>
      <c r="B35" s="20" t="s">
        <v>28</v>
      </c>
      <c r="C35" s="20">
        <v>9.1</v>
      </c>
      <c r="D35" s="20">
        <v>19.8</v>
      </c>
      <c r="E35" s="20" t="s">
        <v>23</v>
      </c>
      <c r="F35" s="20">
        <v>105</v>
      </c>
      <c r="G35" s="20">
        <v>57.88</v>
      </c>
      <c r="H35" s="21">
        <f>G35/F35</f>
        <v>0.5512380952380953</v>
      </c>
      <c r="I35" s="20">
        <v>15</v>
      </c>
      <c r="J35" s="20">
        <v>19.8</v>
      </c>
      <c r="K35" s="20" t="s">
        <v>23</v>
      </c>
      <c r="L35" s="20">
        <v>180</v>
      </c>
      <c r="M35" s="20">
        <v>57.88</v>
      </c>
      <c r="N35" s="21">
        <f t="shared" si="1"/>
        <v>0.32155555555555559</v>
      </c>
      <c r="O35" s="25"/>
      <c r="P35" s="25"/>
      <c r="Q35" s="25"/>
      <c r="R35" s="25"/>
      <c r="S35" s="25"/>
      <c r="T35" s="25"/>
    </row>
    <row r="36" spans="1:20" ht="31.5" customHeight="1" x14ac:dyDescent="0.25">
      <c r="A36" s="20">
        <v>5</v>
      </c>
      <c r="B36" s="20" t="s">
        <v>29</v>
      </c>
      <c r="C36" s="20">
        <v>1.2</v>
      </c>
      <c r="D36" s="20">
        <v>4.8579999999999997</v>
      </c>
      <c r="E36" s="20" t="s">
        <v>23</v>
      </c>
      <c r="F36" s="20">
        <v>20</v>
      </c>
      <c r="G36" s="20">
        <v>13.802</v>
      </c>
      <c r="H36" s="21">
        <f>G36/F36</f>
        <v>0.69009999999999994</v>
      </c>
      <c r="I36" s="20">
        <v>1.5</v>
      </c>
      <c r="J36" s="20">
        <v>4.8579999999999997</v>
      </c>
      <c r="K36" s="20" t="s">
        <v>23</v>
      </c>
      <c r="L36" s="20">
        <v>50</v>
      </c>
      <c r="M36" s="20">
        <v>13.802</v>
      </c>
      <c r="N36" s="21">
        <f t="shared" si="1"/>
        <v>0.27604000000000001</v>
      </c>
      <c r="O36" s="25"/>
      <c r="P36" s="25"/>
      <c r="Q36" s="25"/>
      <c r="R36" s="25"/>
      <c r="S36" s="25"/>
      <c r="T36" s="25"/>
    </row>
    <row r="37" spans="1:20" s="67" customFormat="1" ht="15.75" customHeight="1" x14ac:dyDescent="0.25">
      <c r="A37" s="56">
        <v>6</v>
      </c>
      <c r="B37" s="56" t="s">
        <v>25</v>
      </c>
      <c r="C37" s="55" t="s">
        <v>26</v>
      </c>
      <c r="D37" s="55"/>
      <c r="E37" s="55"/>
      <c r="F37" s="55"/>
      <c r="G37" s="55"/>
      <c r="H37" s="55"/>
      <c r="I37" s="55" t="s">
        <v>17</v>
      </c>
      <c r="J37" s="55"/>
      <c r="K37" s="55"/>
      <c r="L37" s="56">
        <v>20</v>
      </c>
      <c r="M37" s="56">
        <v>7.9409999999999998</v>
      </c>
      <c r="N37" s="62">
        <f t="shared" si="1"/>
        <v>0.39705000000000001</v>
      </c>
      <c r="O37" s="107"/>
      <c r="P37" s="107"/>
      <c r="Q37" s="107"/>
      <c r="R37" s="107"/>
      <c r="S37" s="107"/>
      <c r="T37" s="107"/>
    </row>
    <row r="38" spans="1:20" ht="21.75" hidden="1" customHeight="1" x14ac:dyDescent="0.25">
      <c r="A38" s="19"/>
      <c r="B38" s="159" t="s">
        <v>45</v>
      </c>
      <c r="C38" s="159">
        <f>SUM(C32:C37)</f>
        <v>1601.3</v>
      </c>
      <c r="D38" s="159">
        <f>SUM(D32:D36)</f>
        <v>1801.6579999999999</v>
      </c>
      <c r="E38" s="94">
        <f>D38/C38</f>
        <v>1.1251220883032536</v>
      </c>
      <c r="F38" s="19">
        <f>SUM(F32:F37)</f>
        <v>18300</v>
      </c>
      <c r="G38" s="19">
        <f>SUM(G32:G36)</f>
        <v>6287.1419999999998</v>
      </c>
      <c r="H38" s="94">
        <f>G38/F38</f>
        <v>0.34355967213114752</v>
      </c>
      <c r="I38" s="159">
        <f>SUM(I32:I37)</f>
        <v>2137.5</v>
      </c>
      <c r="J38" s="19">
        <f>SUM(J32:J36)</f>
        <v>1801.6579999999999</v>
      </c>
      <c r="K38" s="94">
        <f>J38/I38</f>
        <v>0.84288093567251454</v>
      </c>
      <c r="L38" s="19">
        <f>SUM(L32:L37)</f>
        <v>25000</v>
      </c>
      <c r="M38" s="19">
        <f>SUM(M32:M37)</f>
        <v>6295.0829999999996</v>
      </c>
      <c r="N38" s="94">
        <f t="shared" si="1"/>
        <v>0.25180332</v>
      </c>
      <c r="O38" s="25"/>
      <c r="P38" s="25"/>
      <c r="Q38" s="25"/>
      <c r="R38" s="25"/>
      <c r="S38" s="25"/>
      <c r="T38" s="25"/>
    </row>
  </sheetData>
  <mergeCells count="43">
    <mergeCell ref="C37:H37"/>
    <mergeCell ref="I37:K37"/>
    <mergeCell ref="C24:E24"/>
    <mergeCell ref="I24:N24"/>
    <mergeCell ref="O24:Q24"/>
    <mergeCell ref="B28:N28"/>
    <mergeCell ref="A29:A31"/>
    <mergeCell ref="B29:B31"/>
    <mergeCell ref="C29:H30"/>
    <mergeCell ref="I29:N30"/>
    <mergeCell ref="C21:H21"/>
    <mergeCell ref="I21:N21"/>
    <mergeCell ref="C22:E22"/>
    <mergeCell ref="C23:E23"/>
    <mergeCell ref="I23:K23"/>
    <mergeCell ref="O21:T21"/>
    <mergeCell ref="O22:T22"/>
    <mergeCell ref="O23:T23"/>
    <mergeCell ref="C18:E18"/>
    <mergeCell ref="O18:Q18"/>
    <mergeCell ref="I20:N20"/>
    <mergeCell ref="O20:Q20"/>
    <mergeCell ref="B15:T15"/>
    <mergeCell ref="A16:A17"/>
    <mergeCell ref="B16:B17"/>
    <mergeCell ref="C16:H16"/>
    <mergeCell ref="I16:N16"/>
    <mergeCell ref="O16:T16"/>
    <mergeCell ref="O6:Q6"/>
    <mergeCell ref="C9:H9"/>
    <mergeCell ref="I9:K9"/>
    <mergeCell ref="O11:Q11"/>
    <mergeCell ref="C12:N12"/>
    <mergeCell ref="O10:Q10"/>
    <mergeCell ref="O8:Q8"/>
    <mergeCell ref="O9:Q9"/>
    <mergeCell ref="A1:T1"/>
    <mergeCell ref="B3:T3"/>
    <mergeCell ref="A4:A5"/>
    <mergeCell ref="B4:B5"/>
    <mergeCell ref="C4:H4"/>
    <mergeCell ref="I4:N4"/>
    <mergeCell ref="O4:T4"/>
  </mergeCells>
  <printOptions horizontalCentered="1"/>
  <pageMargins left="0.23611111111111099" right="0" top="0.23611111111111099" bottom="0.23680555555555599" header="0.511811023622047" footer="0.31527777777777799"/>
  <pageSetup paperSize="9" scale="70" orientation="landscape" horizontalDpi="300" verticalDpi="300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"/>
  <sheetViews>
    <sheetView topLeftCell="A4" zoomScaleNormal="100" workbookViewId="0">
      <selection activeCell="R18" sqref="R18"/>
    </sheetView>
  </sheetViews>
  <sheetFormatPr defaultColWidth="8.75" defaultRowHeight="15" x14ac:dyDescent="0.25"/>
  <cols>
    <col min="1" max="1" width="4.625" style="2" customWidth="1"/>
    <col min="2" max="2" width="13" style="2" customWidth="1"/>
    <col min="3" max="3" width="8.125" style="2" customWidth="1"/>
    <col min="4" max="4" width="8.75" style="2"/>
    <col min="5" max="5" width="14.375" style="2" bestFit="1" customWidth="1"/>
    <col min="6" max="6" width="9.375" style="2" customWidth="1"/>
    <col min="7" max="7" width="11" style="2" customWidth="1"/>
    <col min="8" max="8" width="8" style="2" customWidth="1"/>
    <col min="9" max="9" width="13.375" style="2" customWidth="1"/>
    <col min="10" max="10" width="11.875" style="2" customWidth="1"/>
    <col min="11" max="11" width="10.625" style="2" bestFit="1" customWidth="1"/>
    <col min="12" max="12" width="12.625" style="2" customWidth="1"/>
    <col min="13" max="14" width="13.125" style="2" customWidth="1"/>
    <col min="15" max="15" width="11.625" style="2" customWidth="1"/>
    <col min="16" max="16" width="8.625" style="2" customWidth="1"/>
    <col min="17" max="17" width="8.75" style="2"/>
    <col min="18" max="18" width="8.875" style="2" customWidth="1"/>
    <col min="19" max="19" width="8.125" style="2" customWidth="1"/>
    <col min="20" max="20" width="8.75" style="2"/>
    <col min="21" max="21" width="12.375" style="2" customWidth="1"/>
    <col min="22" max="22" width="8.625" style="2" customWidth="1"/>
    <col min="23" max="23" width="8.75" style="2"/>
    <col min="24" max="24" width="6.25" style="2" customWidth="1"/>
    <col min="25" max="16384" width="8.75" style="2"/>
  </cols>
  <sheetData>
    <row r="1" spans="1:24" ht="28.5" customHeight="1" x14ac:dyDescent="0.25">
      <c r="A1" s="1" t="s">
        <v>46</v>
      </c>
      <c r="B1" s="41" t="s">
        <v>47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3"/>
      <c r="Q1" s="3"/>
      <c r="R1" s="3"/>
      <c r="S1" s="3"/>
      <c r="T1" s="3"/>
      <c r="U1" s="3"/>
      <c r="V1" s="3"/>
      <c r="W1" s="3"/>
      <c r="X1" s="3"/>
    </row>
    <row r="2" spans="1:24" ht="57" customHeight="1" x14ac:dyDescent="0.25">
      <c r="A2" s="39"/>
      <c r="B2" s="42" t="s">
        <v>3</v>
      </c>
      <c r="C2" s="37" t="s">
        <v>48</v>
      </c>
      <c r="D2" s="37"/>
      <c r="E2" s="37"/>
      <c r="F2" s="37"/>
      <c r="G2" s="37"/>
      <c r="H2" s="37"/>
      <c r="I2" s="37" t="s">
        <v>49</v>
      </c>
      <c r="J2" s="37"/>
      <c r="K2" s="37"/>
      <c r="L2" s="37"/>
      <c r="M2" s="37"/>
      <c r="N2" s="37"/>
      <c r="O2" s="37"/>
      <c r="P2" s="37" t="s">
        <v>50</v>
      </c>
      <c r="Q2" s="37"/>
      <c r="R2" s="37"/>
      <c r="S2" s="37" t="s">
        <v>51</v>
      </c>
      <c r="T2" s="37"/>
      <c r="U2" s="37"/>
      <c r="V2" s="37"/>
      <c r="W2" s="37"/>
      <c r="X2" s="37"/>
    </row>
    <row r="3" spans="1:24" ht="85.5" customHeight="1" x14ac:dyDescent="0.25">
      <c r="A3" s="39"/>
      <c r="B3" s="42"/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4" t="s">
        <v>12</v>
      </c>
      <c r="I3" s="1" t="s">
        <v>7</v>
      </c>
      <c r="J3" s="1" t="s">
        <v>8</v>
      </c>
      <c r="K3" s="1" t="s">
        <v>9</v>
      </c>
      <c r="L3" s="1" t="s">
        <v>52</v>
      </c>
      <c r="M3" s="1" t="s">
        <v>53</v>
      </c>
      <c r="N3" s="1" t="s">
        <v>11</v>
      </c>
      <c r="O3" s="4" t="s">
        <v>54</v>
      </c>
      <c r="P3" s="1" t="s">
        <v>10</v>
      </c>
      <c r="Q3" s="1" t="s">
        <v>11</v>
      </c>
      <c r="R3" s="4" t="s">
        <v>12</v>
      </c>
      <c r="S3" s="1" t="s">
        <v>7</v>
      </c>
      <c r="T3" s="1" t="s">
        <v>8</v>
      </c>
      <c r="U3" s="1" t="s">
        <v>9</v>
      </c>
      <c r="V3" s="1" t="s">
        <v>10</v>
      </c>
      <c r="W3" s="1" t="s">
        <v>11</v>
      </c>
      <c r="X3" s="4" t="s">
        <v>12</v>
      </c>
    </row>
    <row r="4" spans="1:24" s="67" customFormat="1" ht="15.75" customHeight="1" x14ac:dyDescent="0.25">
      <c r="A4" s="54">
        <v>1</v>
      </c>
      <c r="B4" s="56" t="s">
        <v>55</v>
      </c>
      <c r="C4" s="56">
        <v>5</v>
      </c>
      <c r="D4" s="56">
        <v>6</v>
      </c>
      <c r="E4" s="56" t="s">
        <v>144</v>
      </c>
      <c r="F4" s="56">
        <v>40</v>
      </c>
      <c r="G4" s="56">
        <v>12</v>
      </c>
      <c r="H4" s="62">
        <f t="shared" ref="H4:H9" si="0">G4/F4</f>
        <v>0.3</v>
      </c>
      <c r="I4" s="63">
        <v>133</v>
      </c>
      <c r="J4" s="63">
        <v>133037</v>
      </c>
      <c r="K4" s="56" t="s">
        <v>23</v>
      </c>
      <c r="L4" s="56">
        <v>4700</v>
      </c>
      <c r="M4" s="63">
        <v>30000</v>
      </c>
      <c r="N4" s="64">
        <v>209.63</v>
      </c>
      <c r="O4" s="62">
        <f t="shared" ref="O4:O9" si="1">N4/M4</f>
        <v>6.9876666666666663E-3</v>
      </c>
      <c r="P4" s="57">
        <v>0.75</v>
      </c>
      <c r="Q4" s="57">
        <v>1</v>
      </c>
      <c r="R4" s="54" t="s">
        <v>56</v>
      </c>
      <c r="S4" s="65"/>
      <c r="T4" s="54"/>
      <c r="U4" s="65"/>
      <c r="V4" s="59"/>
      <c r="W4" s="57"/>
      <c r="X4" s="66"/>
    </row>
    <row r="5" spans="1:24" s="22" customFormat="1" ht="15.75" customHeight="1" x14ac:dyDescent="0.25">
      <c r="A5" s="19">
        <v>2</v>
      </c>
      <c r="B5" s="20" t="s">
        <v>13</v>
      </c>
      <c r="C5" s="20">
        <v>2</v>
      </c>
      <c r="D5" s="20">
        <v>2</v>
      </c>
      <c r="E5" s="20" t="s">
        <v>27</v>
      </c>
      <c r="F5" s="20">
        <v>15</v>
      </c>
      <c r="G5" s="20">
        <v>6</v>
      </c>
      <c r="H5" s="21">
        <f t="shared" si="0"/>
        <v>0.4</v>
      </c>
      <c r="I5" s="26">
        <v>5</v>
      </c>
      <c r="J5" s="26">
        <v>55</v>
      </c>
      <c r="K5" s="20" t="s">
        <v>23</v>
      </c>
      <c r="L5" s="20">
        <v>140</v>
      </c>
      <c r="M5" s="20">
        <v>800</v>
      </c>
      <c r="N5" s="20">
        <v>121</v>
      </c>
      <c r="O5" s="21">
        <f t="shared" si="1"/>
        <v>0.15125</v>
      </c>
      <c r="P5" s="27">
        <v>0.75</v>
      </c>
      <c r="Q5" s="27">
        <v>1</v>
      </c>
      <c r="R5" s="19" t="s">
        <v>56</v>
      </c>
      <c r="S5" s="20">
        <v>2</v>
      </c>
      <c r="T5" s="19">
        <v>3</v>
      </c>
      <c r="U5" s="28" t="s">
        <v>57</v>
      </c>
      <c r="V5" s="29">
        <v>10</v>
      </c>
      <c r="W5" s="30">
        <v>7</v>
      </c>
      <c r="X5" s="23">
        <f t="shared" ref="X5:X11" si="2">W5/V5</f>
        <v>0.7</v>
      </c>
    </row>
    <row r="6" spans="1:24" s="22" customFormat="1" ht="15.75" customHeight="1" x14ac:dyDescent="0.25">
      <c r="A6" s="19">
        <v>3</v>
      </c>
      <c r="B6" s="20" t="s">
        <v>18</v>
      </c>
      <c r="C6" s="20">
        <v>2</v>
      </c>
      <c r="D6" s="20">
        <v>1</v>
      </c>
      <c r="E6" s="20" t="s">
        <v>58</v>
      </c>
      <c r="F6" s="20">
        <v>12</v>
      </c>
      <c r="G6" s="20">
        <v>3</v>
      </c>
      <c r="H6" s="21">
        <f t="shared" si="0"/>
        <v>0.25</v>
      </c>
      <c r="I6" s="26">
        <v>20</v>
      </c>
      <c r="J6" s="95">
        <v>1.07</v>
      </c>
      <c r="K6" s="20" t="s">
        <v>59</v>
      </c>
      <c r="L6" s="20">
        <v>120</v>
      </c>
      <c r="M6" s="20">
        <v>2000</v>
      </c>
      <c r="N6" s="20">
        <v>29.4</v>
      </c>
      <c r="O6" s="21">
        <f t="shared" si="1"/>
        <v>1.47E-2</v>
      </c>
      <c r="P6" s="27">
        <v>0.75</v>
      </c>
      <c r="Q6" s="27">
        <v>1</v>
      </c>
      <c r="R6" s="19" t="s">
        <v>56</v>
      </c>
      <c r="S6" s="28">
        <v>1</v>
      </c>
      <c r="T6" s="19">
        <v>4</v>
      </c>
      <c r="U6" s="28" t="s">
        <v>60</v>
      </c>
      <c r="V6" s="29">
        <v>10</v>
      </c>
      <c r="W6" s="30">
        <v>9</v>
      </c>
      <c r="X6" s="23">
        <f t="shared" si="2"/>
        <v>0.9</v>
      </c>
    </row>
    <row r="7" spans="1:24" s="22" customFormat="1" ht="31.5" customHeight="1" x14ac:dyDescent="0.25">
      <c r="A7" s="19">
        <v>4</v>
      </c>
      <c r="B7" s="20" t="s">
        <v>22</v>
      </c>
      <c r="C7" s="68" t="s">
        <v>17</v>
      </c>
      <c r="D7" s="82"/>
      <c r="E7" s="83"/>
      <c r="F7" s="20">
        <v>3</v>
      </c>
      <c r="G7" s="20">
        <v>1</v>
      </c>
      <c r="H7" s="21">
        <f t="shared" si="0"/>
        <v>0.33333333333333331</v>
      </c>
      <c r="I7" s="38" t="s">
        <v>17</v>
      </c>
      <c r="J7" s="38"/>
      <c r="K7" s="38"/>
      <c r="L7" s="20">
        <v>20</v>
      </c>
      <c r="M7" s="20">
        <v>2000</v>
      </c>
      <c r="N7" s="20">
        <v>0</v>
      </c>
      <c r="O7" s="27">
        <f t="shared" si="1"/>
        <v>0</v>
      </c>
      <c r="P7" s="27">
        <v>0.75</v>
      </c>
      <c r="Q7" s="28">
        <v>0</v>
      </c>
      <c r="R7" s="84">
        <f>Q7/P7</f>
        <v>0</v>
      </c>
      <c r="S7" s="20">
        <v>0</v>
      </c>
      <c r="T7" s="19">
        <v>1</v>
      </c>
      <c r="U7" s="20" t="s">
        <v>23</v>
      </c>
      <c r="V7" s="29">
        <v>2</v>
      </c>
      <c r="W7" s="30">
        <v>2</v>
      </c>
      <c r="X7" s="23">
        <f t="shared" si="2"/>
        <v>1</v>
      </c>
    </row>
    <row r="8" spans="1:24" s="92" customFormat="1" ht="30.75" customHeight="1" x14ac:dyDescent="0.25">
      <c r="A8" s="86">
        <v>5</v>
      </c>
      <c r="B8" s="85" t="s">
        <v>28</v>
      </c>
      <c r="C8" s="85">
        <v>1</v>
      </c>
      <c r="D8" s="85">
        <v>0</v>
      </c>
      <c r="E8" s="85" t="s">
        <v>61</v>
      </c>
      <c r="F8" s="85">
        <v>3</v>
      </c>
      <c r="G8" s="85">
        <v>1</v>
      </c>
      <c r="H8" s="87">
        <f t="shared" si="0"/>
        <v>0.33333333333333331</v>
      </c>
      <c r="I8" s="85">
        <v>9</v>
      </c>
      <c r="J8" s="85">
        <v>9.9700000000000006</v>
      </c>
      <c r="K8" s="85" t="s">
        <v>23</v>
      </c>
      <c r="L8" s="85">
        <v>20</v>
      </c>
      <c r="M8" s="85">
        <v>180</v>
      </c>
      <c r="N8" s="85">
        <v>9.9700000000000006</v>
      </c>
      <c r="O8" s="88">
        <f t="shared" si="1"/>
        <v>5.538888888888889E-2</v>
      </c>
      <c r="P8" s="88">
        <v>0.75</v>
      </c>
      <c r="Q8" s="88">
        <v>1</v>
      </c>
      <c r="R8" s="86" t="s">
        <v>56</v>
      </c>
      <c r="S8" s="85">
        <v>3</v>
      </c>
      <c r="T8" s="86">
        <v>0</v>
      </c>
      <c r="U8" s="85" t="s">
        <v>145</v>
      </c>
      <c r="V8" s="89">
        <v>2</v>
      </c>
      <c r="W8" s="90">
        <v>3</v>
      </c>
      <c r="X8" s="91">
        <f t="shared" si="2"/>
        <v>1.5</v>
      </c>
    </row>
    <row r="9" spans="1:24" s="22" customFormat="1" ht="15.75" customHeight="1" x14ac:dyDescent="0.25">
      <c r="A9" s="19">
        <v>6</v>
      </c>
      <c r="B9" s="20" t="s">
        <v>29</v>
      </c>
      <c r="C9" s="85">
        <v>1</v>
      </c>
      <c r="D9" s="85">
        <v>1</v>
      </c>
      <c r="E9" s="20" t="s">
        <v>27</v>
      </c>
      <c r="F9" s="20">
        <v>2</v>
      </c>
      <c r="G9" s="20">
        <v>1</v>
      </c>
      <c r="H9" s="27">
        <f t="shared" si="0"/>
        <v>0.5</v>
      </c>
      <c r="I9" s="38" t="s">
        <v>17</v>
      </c>
      <c r="J9" s="38"/>
      <c r="K9" s="38"/>
      <c r="L9" s="20">
        <v>0</v>
      </c>
      <c r="M9" s="20">
        <v>20</v>
      </c>
      <c r="N9" s="20">
        <v>0</v>
      </c>
      <c r="O9" s="27">
        <f t="shared" si="1"/>
        <v>0</v>
      </c>
      <c r="P9" s="27">
        <v>0.5</v>
      </c>
      <c r="Q9" s="28">
        <v>0</v>
      </c>
      <c r="R9" s="84">
        <f>Q9/P9</f>
        <v>0</v>
      </c>
      <c r="S9" s="38" t="s">
        <v>17</v>
      </c>
      <c r="T9" s="38"/>
      <c r="U9" s="38"/>
      <c r="V9" s="29">
        <v>1</v>
      </c>
      <c r="W9" s="29">
        <v>0</v>
      </c>
      <c r="X9" s="23">
        <f t="shared" si="2"/>
        <v>0</v>
      </c>
    </row>
    <row r="10" spans="1:24" s="22" customFormat="1" ht="15.75" customHeight="1" x14ac:dyDescent="0.25">
      <c r="A10" s="19">
        <v>7</v>
      </c>
      <c r="B10" s="20" t="s">
        <v>25</v>
      </c>
      <c r="C10" s="38" t="s">
        <v>26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 t="s">
        <v>17</v>
      </c>
      <c r="T10" s="38"/>
      <c r="U10" s="38"/>
      <c r="V10" s="29">
        <v>1</v>
      </c>
      <c r="W10" s="30">
        <v>1</v>
      </c>
      <c r="X10" s="23">
        <f t="shared" si="2"/>
        <v>1</v>
      </c>
    </row>
    <row r="11" spans="1:24" s="67" customFormat="1" ht="15.75" customHeight="1" x14ac:dyDescent="0.25">
      <c r="A11" s="54">
        <v>8</v>
      </c>
      <c r="B11" s="56" t="s">
        <v>62</v>
      </c>
      <c r="C11" s="55" t="s">
        <v>26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 t="s">
        <v>17</v>
      </c>
      <c r="T11" s="55"/>
      <c r="U11" s="55"/>
      <c r="V11" s="144">
        <v>5</v>
      </c>
      <c r="W11" s="145">
        <v>1</v>
      </c>
      <c r="X11" s="59">
        <f t="shared" si="2"/>
        <v>0.2</v>
      </c>
    </row>
    <row r="12" spans="1:24" s="67" customFormat="1" ht="15.75" customHeight="1" x14ac:dyDescent="0.25">
      <c r="A12" s="54">
        <v>9</v>
      </c>
      <c r="B12" s="56" t="s">
        <v>63</v>
      </c>
      <c r="C12" s="55" t="s">
        <v>26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20">
        <v>1</v>
      </c>
      <c r="T12" s="19">
        <v>2</v>
      </c>
      <c r="U12" s="28" t="s">
        <v>57</v>
      </c>
      <c r="V12" s="144">
        <v>4</v>
      </c>
      <c r="W12" s="145">
        <v>2</v>
      </c>
      <c r="X12" s="59">
        <v>0</v>
      </c>
    </row>
    <row r="13" spans="1:24" ht="18.75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5"/>
      <c r="U13" s="6"/>
      <c r="V13" s="7"/>
      <c r="W13" s="8"/>
      <c r="X13" s="9"/>
    </row>
    <row r="14" spans="1:24" s="3" customFormat="1" ht="30" customHeight="1" x14ac:dyDescent="0.25">
      <c r="A14" s="146" t="s">
        <v>64</v>
      </c>
      <c r="B14" s="147" t="s">
        <v>65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5"/>
      <c r="Q14" s="5"/>
      <c r="R14" s="5"/>
      <c r="S14" s="5"/>
      <c r="T14" s="5"/>
      <c r="U14" s="5"/>
      <c r="V14" s="5"/>
      <c r="W14" s="5"/>
      <c r="X14" s="5"/>
    </row>
    <row r="15" spans="1:24" s="3" customFormat="1" ht="44.25" customHeight="1" x14ac:dyDescent="0.25">
      <c r="A15" s="148" t="s">
        <v>38</v>
      </c>
      <c r="B15" s="148" t="s">
        <v>3</v>
      </c>
      <c r="C15" s="149" t="s">
        <v>66</v>
      </c>
      <c r="D15" s="149"/>
      <c r="E15" s="149"/>
      <c r="F15" s="149"/>
      <c r="G15" s="149"/>
      <c r="H15" s="149"/>
      <c r="I15" s="149" t="s">
        <v>67</v>
      </c>
      <c r="J15" s="149"/>
      <c r="K15" s="149"/>
      <c r="L15" s="149"/>
      <c r="M15" s="149"/>
      <c r="N15" s="149"/>
      <c r="O15" s="150" t="s">
        <v>68</v>
      </c>
      <c r="P15" s="5"/>
      <c r="Q15" s="5"/>
      <c r="R15" s="5"/>
      <c r="S15" s="5"/>
      <c r="T15" s="5"/>
      <c r="U15" s="5"/>
      <c r="V15" s="5"/>
      <c r="W15" s="5"/>
      <c r="X15" s="5"/>
    </row>
    <row r="16" spans="1:24" s="3" customFormat="1" ht="56.25" customHeight="1" x14ac:dyDescent="0.25">
      <c r="A16" s="148"/>
      <c r="B16" s="148"/>
      <c r="C16" s="150" t="s">
        <v>7</v>
      </c>
      <c r="D16" s="150" t="s">
        <v>8</v>
      </c>
      <c r="E16" s="150" t="s">
        <v>9</v>
      </c>
      <c r="F16" s="150" t="s">
        <v>10</v>
      </c>
      <c r="G16" s="150" t="s">
        <v>11</v>
      </c>
      <c r="H16" s="150" t="s">
        <v>12</v>
      </c>
      <c r="I16" s="150" t="s">
        <v>7</v>
      </c>
      <c r="J16" s="150" t="s">
        <v>8</v>
      </c>
      <c r="K16" s="150" t="s">
        <v>9</v>
      </c>
      <c r="L16" s="150" t="s">
        <v>10</v>
      </c>
      <c r="M16" s="150" t="s">
        <v>11</v>
      </c>
      <c r="N16" s="150" t="s">
        <v>12</v>
      </c>
      <c r="O16" s="19"/>
      <c r="P16" s="5"/>
      <c r="Q16" s="5"/>
      <c r="R16" s="5"/>
      <c r="S16" s="5"/>
      <c r="T16" s="5"/>
      <c r="U16" s="5"/>
      <c r="V16" s="5"/>
      <c r="W16" s="5"/>
      <c r="X16" s="5"/>
    </row>
    <row r="17" spans="1:24" s="25" customFormat="1" ht="18.75" customHeight="1" x14ac:dyDescent="0.25">
      <c r="A17" s="19">
        <v>1</v>
      </c>
      <c r="B17" s="20" t="s">
        <v>18</v>
      </c>
      <c r="C17" s="20">
        <v>0</v>
      </c>
      <c r="D17" s="20">
        <v>0</v>
      </c>
      <c r="E17" s="19" t="s">
        <v>17</v>
      </c>
      <c r="F17" s="20">
        <v>3</v>
      </c>
      <c r="G17" s="19">
        <v>3</v>
      </c>
      <c r="H17" s="27">
        <f t="shared" ref="H17:H23" si="3">G17/F17</f>
        <v>1</v>
      </c>
      <c r="I17" s="19"/>
      <c r="J17" s="20"/>
      <c r="K17" s="20"/>
      <c r="L17" s="20"/>
      <c r="M17" s="19"/>
      <c r="N17" s="21"/>
      <c r="O17" s="19"/>
      <c r="P17" s="31"/>
      <c r="Q17" s="31"/>
      <c r="R17" s="31"/>
      <c r="S17" s="31"/>
      <c r="T17" s="31"/>
      <c r="U17" s="31"/>
      <c r="V17" s="31"/>
      <c r="W17" s="31"/>
      <c r="X17" s="31"/>
    </row>
    <row r="18" spans="1:24" s="25" customFormat="1" ht="18.75" customHeight="1" x14ac:dyDescent="0.25">
      <c r="A18" s="19">
        <v>2</v>
      </c>
      <c r="B18" s="20" t="s">
        <v>69</v>
      </c>
      <c r="C18" s="20">
        <v>0</v>
      </c>
      <c r="D18" s="20">
        <v>0</v>
      </c>
      <c r="E18" s="27" t="s">
        <v>17</v>
      </c>
      <c r="F18" s="20">
        <v>2</v>
      </c>
      <c r="G18" s="19">
        <v>1</v>
      </c>
      <c r="H18" s="27">
        <f t="shared" si="3"/>
        <v>0.5</v>
      </c>
      <c r="I18" s="19"/>
      <c r="J18" s="20"/>
      <c r="K18" s="20"/>
      <c r="L18" s="20"/>
      <c r="M18" s="19"/>
      <c r="N18" s="21"/>
      <c r="O18" s="19"/>
      <c r="P18" s="31"/>
      <c r="Q18" s="31"/>
      <c r="R18" s="31"/>
      <c r="S18" s="31"/>
      <c r="T18" s="31"/>
      <c r="U18" s="31"/>
      <c r="V18" s="31"/>
      <c r="W18" s="31"/>
      <c r="X18" s="31"/>
    </row>
    <row r="19" spans="1:24" s="25" customFormat="1" ht="18.75" customHeight="1" x14ac:dyDescent="0.25">
      <c r="A19" s="19">
        <v>3</v>
      </c>
      <c r="B19" s="20" t="s">
        <v>25</v>
      </c>
      <c r="C19" s="20">
        <v>0</v>
      </c>
      <c r="D19" s="20">
        <v>1</v>
      </c>
      <c r="E19" s="27" t="s">
        <v>23</v>
      </c>
      <c r="F19" s="20">
        <v>2</v>
      </c>
      <c r="G19" s="19">
        <v>2</v>
      </c>
      <c r="H19" s="27">
        <f t="shared" si="3"/>
        <v>1</v>
      </c>
      <c r="I19" s="19"/>
      <c r="J19" s="20"/>
      <c r="K19" s="20"/>
      <c r="L19" s="20"/>
      <c r="M19" s="19"/>
      <c r="N19" s="21"/>
      <c r="O19" s="19"/>
      <c r="P19" s="31"/>
      <c r="Q19" s="31"/>
      <c r="R19" s="31"/>
      <c r="S19" s="31"/>
      <c r="T19" s="31"/>
      <c r="U19" s="31"/>
      <c r="V19" s="31"/>
      <c r="W19" s="31"/>
      <c r="X19" s="31"/>
    </row>
    <row r="20" spans="1:24" s="25" customFormat="1" ht="18.75" customHeight="1" x14ac:dyDescent="0.25">
      <c r="A20" s="19">
        <v>4</v>
      </c>
      <c r="B20" s="20" t="s">
        <v>13</v>
      </c>
      <c r="C20" s="20">
        <v>1</v>
      </c>
      <c r="D20" s="20">
        <v>0</v>
      </c>
      <c r="E20" s="27" t="s">
        <v>142</v>
      </c>
      <c r="F20" s="20">
        <v>7</v>
      </c>
      <c r="G20" s="19">
        <v>2</v>
      </c>
      <c r="H20" s="21">
        <f t="shared" si="3"/>
        <v>0.2857142857142857</v>
      </c>
      <c r="I20" s="19"/>
      <c r="J20" s="20"/>
      <c r="K20" s="20"/>
      <c r="L20" s="20"/>
      <c r="M20" s="19"/>
      <c r="N20" s="21"/>
      <c r="O20" s="19"/>
      <c r="P20" s="31"/>
      <c r="Q20" s="31"/>
      <c r="R20" s="31"/>
      <c r="S20" s="31"/>
      <c r="T20" s="31"/>
      <c r="U20" s="31"/>
      <c r="V20" s="31"/>
      <c r="W20" s="31"/>
      <c r="X20" s="31"/>
    </row>
    <row r="21" spans="1:24" s="25" customFormat="1" ht="18.75" customHeight="1" x14ac:dyDescent="0.25">
      <c r="A21" s="19">
        <v>5</v>
      </c>
      <c r="B21" s="20" t="s">
        <v>28</v>
      </c>
      <c r="C21" s="20">
        <v>0</v>
      </c>
      <c r="D21" s="20">
        <v>0</v>
      </c>
      <c r="E21" s="27" t="s">
        <v>17</v>
      </c>
      <c r="F21" s="20">
        <v>3</v>
      </c>
      <c r="G21" s="19">
        <v>1</v>
      </c>
      <c r="H21" s="21">
        <f t="shared" si="3"/>
        <v>0.33333333333333331</v>
      </c>
      <c r="I21" s="20">
        <v>12</v>
      </c>
      <c r="J21" s="20">
        <v>12</v>
      </c>
      <c r="K21" s="27" t="s">
        <v>27</v>
      </c>
      <c r="L21" s="20">
        <f>12+15+12</f>
        <v>39</v>
      </c>
      <c r="M21" s="19">
        <v>12</v>
      </c>
      <c r="N21" s="21">
        <f>M21/L21</f>
        <v>0.30769230769230771</v>
      </c>
      <c r="O21" s="19"/>
      <c r="P21" s="31"/>
      <c r="Q21" s="31"/>
      <c r="R21" s="31"/>
      <c r="S21" s="31"/>
      <c r="T21" s="31"/>
      <c r="U21" s="31"/>
      <c r="V21" s="31"/>
      <c r="W21" s="31"/>
      <c r="X21" s="31"/>
    </row>
    <row r="22" spans="1:24" s="25" customFormat="1" ht="18.75" customHeight="1" x14ac:dyDescent="0.25">
      <c r="A22" s="19">
        <v>6</v>
      </c>
      <c r="B22" s="20" t="s">
        <v>29</v>
      </c>
      <c r="C22" s="20">
        <v>0</v>
      </c>
      <c r="D22" s="20">
        <v>0</v>
      </c>
      <c r="E22" s="27" t="s">
        <v>17</v>
      </c>
      <c r="F22" s="20">
        <v>2</v>
      </c>
      <c r="G22" s="19">
        <v>1</v>
      </c>
      <c r="H22" s="27">
        <f t="shared" si="3"/>
        <v>0.5</v>
      </c>
      <c r="I22" s="19">
        <v>16</v>
      </c>
      <c r="J22" s="20">
        <v>16</v>
      </c>
      <c r="K22" s="27" t="s">
        <v>27</v>
      </c>
      <c r="L22" s="20">
        <v>24</v>
      </c>
      <c r="M22" s="19">
        <v>16</v>
      </c>
      <c r="N22" s="21">
        <f>M22/L22</f>
        <v>0.66666666666666663</v>
      </c>
      <c r="O22" s="19"/>
      <c r="P22" s="31"/>
      <c r="Q22" s="31"/>
      <c r="R22" s="31"/>
      <c r="S22" s="31"/>
      <c r="T22" s="31"/>
      <c r="U22" s="31"/>
      <c r="V22" s="31"/>
      <c r="W22" s="31"/>
      <c r="X22" s="31"/>
    </row>
    <row r="23" spans="1:24" s="25" customFormat="1" ht="31.5" customHeight="1" x14ac:dyDescent="0.25">
      <c r="A23" s="19">
        <v>7</v>
      </c>
      <c r="B23" s="20" t="s">
        <v>70</v>
      </c>
      <c r="C23" s="38" t="s">
        <v>17</v>
      </c>
      <c r="D23" s="38"/>
      <c r="E23" s="38"/>
      <c r="F23" s="20">
        <v>2</v>
      </c>
      <c r="G23" s="19">
        <v>1</v>
      </c>
      <c r="H23" s="27">
        <f t="shared" si="3"/>
        <v>0.5</v>
      </c>
      <c r="I23" s="19"/>
      <c r="J23" s="20"/>
      <c r="K23" s="27"/>
      <c r="L23" s="20"/>
      <c r="M23" s="19"/>
      <c r="N23" s="21"/>
      <c r="O23" s="19"/>
      <c r="P23" s="31"/>
      <c r="Q23" s="31"/>
      <c r="R23" s="31"/>
      <c r="S23" s="31"/>
      <c r="T23" s="31"/>
      <c r="U23" s="31"/>
      <c r="V23" s="31"/>
      <c r="W23" s="31"/>
      <c r="X23" s="31"/>
    </row>
    <row r="26" spans="1:24" ht="15" customHeight="1" x14ac:dyDescent="0.25">
      <c r="T26" s="2">
        <f>5/2</f>
        <v>2.5</v>
      </c>
    </row>
  </sheetData>
  <mergeCells count="22">
    <mergeCell ref="C7:E7"/>
    <mergeCell ref="S10:U10"/>
    <mergeCell ref="C23:E23"/>
    <mergeCell ref="B14:O14"/>
    <mergeCell ref="A15:A16"/>
    <mergeCell ref="B15:B16"/>
    <mergeCell ref="C15:H15"/>
    <mergeCell ref="I15:N15"/>
    <mergeCell ref="C10:R10"/>
    <mergeCell ref="C11:R11"/>
    <mergeCell ref="S11:U11"/>
    <mergeCell ref="C12:R12"/>
    <mergeCell ref="P2:R2"/>
    <mergeCell ref="S2:X2"/>
    <mergeCell ref="I7:K7"/>
    <mergeCell ref="I9:K9"/>
    <mergeCell ref="S9:U9"/>
    <mergeCell ref="B1:O1"/>
    <mergeCell ref="A2:A3"/>
    <mergeCell ref="B2:B3"/>
    <mergeCell ref="C2:H2"/>
    <mergeCell ref="I2:O2"/>
  </mergeCells>
  <printOptions horizontalCentered="1"/>
  <pageMargins left="0.37013888888888902" right="0" top="0.42986111111111103" bottom="0.5" header="0.511811023622047" footer="0.3"/>
  <pageSetup paperSize="9" scale="60" orientation="landscape" horizontalDpi="300" verticalDpi="300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16"/>
  <sheetViews>
    <sheetView zoomScaleNormal="100" workbookViewId="0">
      <selection activeCell="I9" sqref="I9:N9"/>
    </sheetView>
  </sheetViews>
  <sheetFormatPr defaultColWidth="9.125" defaultRowHeight="14.25" x14ac:dyDescent="0.2"/>
  <cols>
    <col min="1" max="1" width="4.375" style="10" customWidth="1"/>
    <col min="2" max="2" width="15.375" style="10" customWidth="1"/>
    <col min="3" max="32" width="7" style="10" customWidth="1"/>
    <col min="33" max="16384" width="9.125" style="10"/>
  </cols>
  <sheetData>
    <row r="2" spans="1:32" ht="18.75" customHeight="1" x14ac:dyDescent="0.2">
      <c r="B2" s="43" t="s">
        <v>71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32" ht="18.75" customHeight="1" x14ac:dyDescent="0.2">
      <c r="B3" s="11"/>
      <c r="C3" s="11"/>
      <c r="D3" s="11"/>
      <c r="E3" s="11"/>
      <c r="F3" s="11"/>
      <c r="G3" s="11"/>
      <c r="H3" s="12"/>
    </row>
    <row r="4" spans="1:32" s="13" customFormat="1" ht="32.25" customHeight="1" x14ac:dyDescent="0.2">
      <c r="A4" s="133" t="s">
        <v>38</v>
      </c>
      <c r="B4" s="133" t="s">
        <v>3</v>
      </c>
      <c r="C4" s="134" t="s">
        <v>72</v>
      </c>
      <c r="D4" s="134"/>
      <c r="E4" s="134"/>
      <c r="F4" s="134"/>
      <c r="G4" s="134"/>
      <c r="H4" s="134"/>
      <c r="I4" s="134" t="s">
        <v>73</v>
      </c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 t="s">
        <v>74</v>
      </c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</row>
    <row r="5" spans="1:32" s="13" customFormat="1" ht="51.75" customHeight="1" x14ac:dyDescent="0.2">
      <c r="A5" s="133"/>
      <c r="B5" s="133"/>
      <c r="C5" s="134"/>
      <c r="D5" s="134"/>
      <c r="E5" s="134"/>
      <c r="F5" s="134"/>
      <c r="G5" s="134"/>
      <c r="H5" s="134"/>
      <c r="I5" s="134" t="s">
        <v>75</v>
      </c>
      <c r="J5" s="134"/>
      <c r="K5" s="134"/>
      <c r="L5" s="134"/>
      <c r="M5" s="134"/>
      <c r="N5" s="134"/>
      <c r="O5" s="134" t="s">
        <v>76</v>
      </c>
      <c r="P5" s="134"/>
      <c r="Q5" s="134"/>
      <c r="R5" s="134"/>
      <c r="S5" s="134"/>
      <c r="T5" s="134"/>
      <c r="U5" s="134" t="s">
        <v>77</v>
      </c>
      <c r="V5" s="134"/>
      <c r="W5" s="134"/>
      <c r="X5" s="134"/>
      <c r="Y5" s="134"/>
      <c r="Z5" s="134"/>
      <c r="AA5" s="134" t="s">
        <v>78</v>
      </c>
      <c r="AB5" s="134"/>
      <c r="AC5" s="134"/>
      <c r="AD5" s="134"/>
      <c r="AE5" s="134"/>
      <c r="AF5" s="134"/>
    </row>
    <row r="6" spans="1:32" s="13" customFormat="1" ht="78.75" customHeight="1" x14ac:dyDescent="0.2">
      <c r="A6" s="133"/>
      <c r="B6" s="133"/>
      <c r="C6" s="135" t="s">
        <v>7</v>
      </c>
      <c r="D6" s="135" t="s">
        <v>8</v>
      </c>
      <c r="E6" s="135" t="s">
        <v>9</v>
      </c>
      <c r="F6" s="135" t="s">
        <v>10</v>
      </c>
      <c r="G6" s="135" t="s">
        <v>11</v>
      </c>
      <c r="H6" s="135" t="s">
        <v>12</v>
      </c>
      <c r="I6" s="135" t="s">
        <v>7</v>
      </c>
      <c r="J6" s="135" t="s">
        <v>8</v>
      </c>
      <c r="K6" s="135" t="s">
        <v>9</v>
      </c>
      <c r="L6" s="135" t="s">
        <v>10</v>
      </c>
      <c r="M6" s="135" t="s">
        <v>11</v>
      </c>
      <c r="N6" s="135" t="s">
        <v>12</v>
      </c>
      <c r="O6" s="135" t="s">
        <v>7</v>
      </c>
      <c r="P6" s="135" t="s">
        <v>8</v>
      </c>
      <c r="Q6" s="135" t="s">
        <v>9</v>
      </c>
      <c r="R6" s="135" t="s">
        <v>10</v>
      </c>
      <c r="S6" s="135" t="s">
        <v>11</v>
      </c>
      <c r="T6" s="135" t="s">
        <v>12</v>
      </c>
      <c r="U6" s="135" t="s">
        <v>7</v>
      </c>
      <c r="V6" s="135" t="s">
        <v>8</v>
      </c>
      <c r="W6" s="135" t="s">
        <v>9</v>
      </c>
      <c r="X6" s="135" t="s">
        <v>10</v>
      </c>
      <c r="Y6" s="135" t="s">
        <v>11</v>
      </c>
      <c r="Z6" s="135" t="s">
        <v>12</v>
      </c>
      <c r="AA6" s="135" t="s">
        <v>7</v>
      </c>
      <c r="AB6" s="135" t="s">
        <v>8</v>
      </c>
      <c r="AC6" s="135" t="s">
        <v>9</v>
      </c>
      <c r="AD6" s="135" t="s">
        <v>10</v>
      </c>
      <c r="AE6" s="135" t="s">
        <v>11</v>
      </c>
      <c r="AF6" s="135" t="s">
        <v>12</v>
      </c>
    </row>
    <row r="7" spans="1:32" s="32" customFormat="1" ht="32.25" customHeight="1" x14ac:dyDescent="0.2">
      <c r="A7" s="86">
        <v>1</v>
      </c>
      <c r="B7" s="86" t="s">
        <v>13</v>
      </c>
      <c r="C7" s="85">
        <v>1</v>
      </c>
      <c r="D7" s="85">
        <v>0</v>
      </c>
      <c r="E7" s="85" t="s">
        <v>59</v>
      </c>
      <c r="F7" s="85">
        <v>3</v>
      </c>
      <c r="G7" s="85">
        <v>1</v>
      </c>
      <c r="H7" s="88">
        <f t="shared" ref="H7:H13" si="0">G7/F7</f>
        <v>0.33333333333333331</v>
      </c>
      <c r="I7" s="85">
        <v>1</v>
      </c>
      <c r="J7" s="85">
        <v>1</v>
      </c>
      <c r="K7" s="85" t="s">
        <v>27</v>
      </c>
      <c r="L7" s="85">
        <v>4</v>
      </c>
      <c r="M7" s="85">
        <v>4</v>
      </c>
      <c r="N7" s="88">
        <f>M7/L7</f>
        <v>1</v>
      </c>
      <c r="O7" s="85">
        <v>1</v>
      </c>
      <c r="P7" s="85">
        <v>1</v>
      </c>
      <c r="Q7" s="85" t="s">
        <v>27</v>
      </c>
      <c r="R7" s="85">
        <v>4</v>
      </c>
      <c r="S7" s="85">
        <v>2</v>
      </c>
      <c r="T7" s="88">
        <f>S7/R7</f>
        <v>0.5</v>
      </c>
      <c r="U7" s="85">
        <v>11</v>
      </c>
      <c r="V7" s="85">
        <v>27</v>
      </c>
      <c r="W7" s="85" t="s">
        <v>79</v>
      </c>
      <c r="X7" s="85">
        <v>124</v>
      </c>
      <c r="Y7" s="85">
        <v>116</v>
      </c>
      <c r="Z7" s="88">
        <f>Y7/X7</f>
        <v>0.93548387096774188</v>
      </c>
      <c r="AA7" s="85">
        <v>58</v>
      </c>
      <c r="AB7" s="85">
        <v>154</v>
      </c>
      <c r="AC7" s="85" t="s">
        <v>80</v>
      </c>
      <c r="AD7" s="85">
        <v>754</v>
      </c>
      <c r="AE7" s="85">
        <v>656</v>
      </c>
      <c r="AF7" s="88">
        <f t="shared" ref="AF7:AF12" si="1">AE7/AD7</f>
        <v>0.87002652519893897</v>
      </c>
    </row>
    <row r="8" spans="1:32" s="53" customFormat="1" ht="32.25" customHeight="1" x14ac:dyDescent="0.2">
      <c r="A8" s="86">
        <v>2</v>
      </c>
      <c r="B8" s="86" t="s">
        <v>28</v>
      </c>
      <c r="C8" s="136" t="s">
        <v>17</v>
      </c>
      <c r="D8" s="137"/>
      <c r="E8" s="138"/>
      <c r="F8" s="85">
        <v>1</v>
      </c>
      <c r="G8" s="85">
        <v>1</v>
      </c>
      <c r="H8" s="88">
        <f t="shared" si="0"/>
        <v>1</v>
      </c>
      <c r="I8" s="136" t="s">
        <v>17</v>
      </c>
      <c r="J8" s="137"/>
      <c r="K8" s="138"/>
      <c r="L8" s="85">
        <v>2</v>
      </c>
      <c r="M8" s="85">
        <v>1</v>
      </c>
      <c r="N8" s="88">
        <f>M8/L8</f>
        <v>0.5</v>
      </c>
      <c r="O8" s="139" t="s">
        <v>17</v>
      </c>
      <c r="P8" s="139"/>
      <c r="Q8" s="139"/>
      <c r="R8" s="85">
        <v>1</v>
      </c>
      <c r="S8" s="85">
        <v>0</v>
      </c>
      <c r="T8" s="88">
        <f>S8/R8</f>
        <v>0</v>
      </c>
      <c r="U8" s="136" t="s">
        <v>17</v>
      </c>
      <c r="V8" s="137"/>
      <c r="W8" s="138"/>
      <c r="X8" s="85">
        <v>11</v>
      </c>
      <c r="Y8" s="85">
        <v>11</v>
      </c>
      <c r="Z8" s="88">
        <f>Y8/X8</f>
        <v>1</v>
      </c>
      <c r="AA8" s="136" t="s">
        <v>17</v>
      </c>
      <c r="AB8" s="137"/>
      <c r="AC8" s="138"/>
      <c r="AD8" s="85">
        <v>13</v>
      </c>
      <c r="AE8" s="85">
        <v>13</v>
      </c>
      <c r="AF8" s="88">
        <f t="shared" si="1"/>
        <v>1</v>
      </c>
    </row>
    <row r="9" spans="1:32" s="53" customFormat="1" ht="32.25" customHeight="1" x14ac:dyDescent="0.2">
      <c r="A9" s="86">
        <v>3</v>
      </c>
      <c r="B9" s="86" t="s">
        <v>29</v>
      </c>
      <c r="C9" s="85">
        <v>1</v>
      </c>
      <c r="D9" s="85">
        <v>1</v>
      </c>
      <c r="E9" s="85" t="s">
        <v>27</v>
      </c>
      <c r="F9" s="85">
        <v>1</v>
      </c>
      <c r="G9" s="85">
        <v>1</v>
      </c>
      <c r="H9" s="88">
        <f t="shared" si="0"/>
        <v>1</v>
      </c>
      <c r="I9" s="136" t="s">
        <v>26</v>
      </c>
      <c r="J9" s="136"/>
      <c r="K9" s="136"/>
      <c r="L9" s="136"/>
      <c r="M9" s="136"/>
      <c r="N9" s="136"/>
      <c r="O9" s="136" t="s">
        <v>26</v>
      </c>
      <c r="P9" s="136"/>
      <c r="Q9" s="136"/>
      <c r="R9" s="136"/>
      <c r="S9" s="136"/>
      <c r="T9" s="136"/>
      <c r="U9" s="85">
        <v>2</v>
      </c>
      <c r="V9" s="85">
        <v>4</v>
      </c>
      <c r="W9" s="85" t="s">
        <v>128</v>
      </c>
      <c r="X9" s="85">
        <v>10</v>
      </c>
      <c r="Y9" s="85">
        <v>10</v>
      </c>
      <c r="Z9" s="88">
        <f>Y9/X9</f>
        <v>1</v>
      </c>
      <c r="AA9" s="85">
        <v>5</v>
      </c>
      <c r="AB9" s="85">
        <v>5</v>
      </c>
      <c r="AC9" s="85" t="s">
        <v>27</v>
      </c>
      <c r="AD9" s="85">
        <v>18</v>
      </c>
      <c r="AE9" s="85">
        <v>13</v>
      </c>
      <c r="AF9" s="88">
        <f t="shared" si="1"/>
        <v>0.72222222222222221</v>
      </c>
    </row>
    <row r="10" spans="1:32" s="53" customFormat="1" ht="32.25" customHeight="1" x14ac:dyDescent="0.2">
      <c r="A10" s="86">
        <v>4</v>
      </c>
      <c r="B10" s="86" t="s">
        <v>18</v>
      </c>
      <c r="C10" s="136" t="s">
        <v>17</v>
      </c>
      <c r="D10" s="137"/>
      <c r="E10" s="138"/>
      <c r="F10" s="85">
        <v>3</v>
      </c>
      <c r="G10" s="85">
        <v>3</v>
      </c>
      <c r="H10" s="88">
        <f t="shared" si="0"/>
        <v>1</v>
      </c>
      <c r="I10" s="85">
        <v>1</v>
      </c>
      <c r="J10" s="85">
        <v>0</v>
      </c>
      <c r="K10" s="85" t="s">
        <v>59</v>
      </c>
      <c r="L10" s="85">
        <v>4</v>
      </c>
      <c r="M10" s="85">
        <v>1</v>
      </c>
      <c r="N10" s="88">
        <f>M10/L10</f>
        <v>0.25</v>
      </c>
      <c r="O10" s="85">
        <v>1</v>
      </c>
      <c r="P10" s="85">
        <v>1</v>
      </c>
      <c r="Q10" s="85" t="s">
        <v>27</v>
      </c>
      <c r="R10" s="85">
        <v>4</v>
      </c>
      <c r="S10" s="85">
        <v>2</v>
      </c>
      <c r="T10" s="88">
        <f>S10/R10</f>
        <v>0.5</v>
      </c>
      <c r="U10" s="85">
        <v>7</v>
      </c>
      <c r="V10" s="85">
        <v>2</v>
      </c>
      <c r="W10" s="85" t="s">
        <v>81</v>
      </c>
      <c r="X10" s="85">
        <v>74</v>
      </c>
      <c r="Y10" s="85">
        <v>71</v>
      </c>
      <c r="Z10" s="88">
        <f>Y10/X10</f>
        <v>0.95945945945945943</v>
      </c>
      <c r="AA10" s="85">
        <v>40</v>
      </c>
      <c r="AB10" s="85">
        <v>77</v>
      </c>
      <c r="AC10" s="85" t="s">
        <v>82</v>
      </c>
      <c r="AD10" s="85">
        <v>315</v>
      </c>
      <c r="AE10" s="85">
        <v>298</v>
      </c>
      <c r="AF10" s="88">
        <f t="shared" si="1"/>
        <v>0.946031746031746</v>
      </c>
    </row>
    <row r="11" spans="1:32" s="53" customFormat="1" ht="32.25" customHeight="1" x14ac:dyDescent="0.2">
      <c r="A11" s="86">
        <v>5</v>
      </c>
      <c r="B11" s="85" t="s">
        <v>22</v>
      </c>
      <c r="C11" s="136" t="s">
        <v>17</v>
      </c>
      <c r="D11" s="137"/>
      <c r="E11" s="138"/>
      <c r="F11" s="85">
        <v>1</v>
      </c>
      <c r="G11" s="85">
        <v>1</v>
      </c>
      <c r="H11" s="88">
        <f t="shared" si="0"/>
        <v>1</v>
      </c>
      <c r="I11" s="136" t="s">
        <v>17</v>
      </c>
      <c r="J11" s="137"/>
      <c r="K11" s="138"/>
      <c r="L11" s="85">
        <v>1</v>
      </c>
      <c r="M11" s="85"/>
      <c r="N11" s="88">
        <f>M11/L11</f>
        <v>0</v>
      </c>
      <c r="O11" s="139" t="s">
        <v>26</v>
      </c>
      <c r="P11" s="139"/>
      <c r="Q11" s="139"/>
      <c r="R11" s="139"/>
      <c r="S11" s="139"/>
      <c r="T11" s="139"/>
      <c r="U11" s="85">
        <v>5</v>
      </c>
      <c r="V11" s="85">
        <v>3</v>
      </c>
      <c r="W11" s="85" t="s">
        <v>59</v>
      </c>
      <c r="X11" s="85">
        <v>38</v>
      </c>
      <c r="Y11" s="85">
        <v>23</v>
      </c>
      <c r="Z11" s="88">
        <f>Y11/X11</f>
        <v>0.60526315789473684</v>
      </c>
      <c r="AA11" s="85">
        <v>4</v>
      </c>
      <c r="AB11" s="85">
        <v>6</v>
      </c>
      <c r="AC11" s="85" t="s">
        <v>57</v>
      </c>
      <c r="AD11" s="85">
        <v>44</v>
      </c>
      <c r="AE11" s="85">
        <v>27</v>
      </c>
      <c r="AF11" s="88">
        <f t="shared" si="1"/>
        <v>0.61363636363636365</v>
      </c>
    </row>
    <row r="12" spans="1:32" s="53" customFormat="1" ht="32.25" customHeight="1" x14ac:dyDescent="0.2">
      <c r="A12" s="86">
        <v>6</v>
      </c>
      <c r="B12" s="86" t="s">
        <v>25</v>
      </c>
      <c r="C12" s="136" t="s">
        <v>17</v>
      </c>
      <c r="D12" s="137"/>
      <c r="E12" s="138"/>
      <c r="F12" s="85">
        <v>1</v>
      </c>
      <c r="G12" s="85">
        <v>1</v>
      </c>
      <c r="H12" s="88">
        <f t="shared" si="0"/>
        <v>1</v>
      </c>
      <c r="I12" s="136" t="s">
        <v>26</v>
      </c>
      <c r="J12" s="136"/>
      <c r="K12" s="136"/>
      <c r="L12" s="136"/>
      <c r="M12" s="136"/>
      <c r="N12" s="136"/>
      <c r="O12" s="136" t="s">
        <v>26</v>
      </c>
      <c r="P12" s="136"/>
      <c r="Q12" s="136"/>
      <c r="R12" s="136"/>
      <c r="S12" s="136"/>
      <c r="T12" s="136"/>
      <c r="U12" s="136" t="s">
        <v>26</v>
      </c>
      <c r="V12" s="136"/>
      <c r="W12" s="136"/>
      <c r="X12" s="136"/>
      <c r="Y12" s="136"/>
      <c r="Z12" s="136"/>
      <c r="AA12" s="136" t="s">
        <v>17</v>
      </c>
      <c r="AB12" s="137"/>
      <c r="AC12" s="138"/>
      <c r="AD12" s="85">
        <v>17</v>
      </c>
      <c r="AE12" s="85">
        <v>11</v>
      </c>
      <c r="AF12" s="88">
        <f t="shared" si="1"/>
        <v>0.6470588235294118</v>
      </c>
    </row>
    <row r="13" spans="1:32" s="58" customFormat="1" ht="32.25" customHeight="1" x14ac:dyDescent="0.2">
      <c r="A13" s="140">
        <v>7</v>
      </c>
      <c r="B13" s="140" t="s">
        <v>83</v>
      </c>
      <c r="C13" s="141" t="s">
        <v>17</v>
      </c>
      <c r="D13" s="141"/>
      <c r="E13" s="141"/>
      <c r="F13" s="142">
        <v>1</v>
      </c>
      <c r="G13" s="142">
        <v>0</v>
      </c>
      <c r="H13" s="143">
        <f t="shared" si="0"/>
        <v>0</v>
      </c>
      <c r="I13" s="85">
        <v>1</v>
      </c>
      <c r="J13" s="85">
        <v>1</v>
      </c>
      <c r="K13" s="85" t="s">
        <v>27</v>
      </c>
      <c r="L13" s="142">
        <v>2</v>
      </c>
      <c r="M13" s="142">
        <v>0</v>
      </c>
      <c r="N13" s="143">
        <f>M13/L13</f>
        <v>0</v>
      </c>
      <c r="O13" s="141" t="s">
        <v>17</v>
      </c>
      <c r="P13" s="141"/>
      <c r="Q13" s="141"/>
      <c r="R13" s="142">
        <v>1</v>
      </c>
      <c r="S13" s="142">
        <v>0</v>
      </c>
      <c r="T13" s="143">
        <f>S8/R8</f>
        <v>0</v>
      </c>
      <c r="U13" s="141" t="s">
        <v>26</v>
      </c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</row>
    <row r="14" spans="1:32" s="58" customFormat="1" ht="32.25" customHeight="1" x14ac:dyDescent="0.2">
      <c r="A14" s="140">
        <v>8</v>
      </c>
      <c r="B14" s="140" t="s">
        <v>84</v>
      </c>
      <c r="C14" s="141" t="s">
        <v>26</v>
      </c>
      <c r="D14" s="141"/>
      <c r="E14" s="141"/>
      <c r="F14" s="141"/>
      <c r="G14" s="141"/>
      <c r="H14" s="141"/>
      <c r="I14" s="141" t="s">
        <v>17</v>
      </c>
      <c r="J14" s="141"/>
      <c r="K14" s="141"/>
      <c r="L14" s="142">
        <v>2</v>
      </c>
      <c r="M14" s="142">
        <v>0</v>
      </c>
      <c r="N14" s="143">
        <v>0</v>
      </c>
      <c r="O14" s="141" t="s">
        <v>17</v>
      </c>
      <c r="P14" s="141"/>
      <c r="Q14" s="141"/>
      <c r="R14" s="142">
        <v>5</v>
      </c>
      <c r="S14" s="142">
        <v>1</v>
      </c>
      <c r="T14" s="143">
        <f>S14/R14</f>
        <v>0.2</v>
      </c>
      <c r="U14" s="141" t="s">
        <v>26</v>
      </c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</row>
    <row r="15" spans="1:32" s="53" customFormat="1" ht="32.25" customHeight="1" x14ac:dyDescent="0.2">
      <c r="A15" s="86">
        <v>9</v>
      </c>
      <c r="B15" s="85" t="s">
        <v>85</v>
      </c>
      <c r="C15" s="85">
        <v>0</v>
      </c>
      <c r="D15" s="85">
        <v>1</v>
      </c>
      <c r="E15" s="85" t="s">
        <v>23</v>
      </c>
      <c r="F15" s="85">
        <v>3</v>
      </c>
      <c r="G15" s="85">
        <v>2</v>
      </c>
      <c r="H15" s="88">
        <f>G15/F15</f>
        <v>0.66666666666666663</v>
      </c>
      <c r="I15" s="85">
        <v>0</v>
      </c>
      <c r="J15" s="85">
        <v>1</v>
      </c>
      <c r="K15" s="85" t="s">
        <v>23</v>
      </c>
      <c r="L15" s="85">
        <v>2</v>
      </c>
      <c r="M15" s="85">
        <v>1</v>
      </c>
      <c r="N15" s="88">
        <f>M15/L15</f>
        <v>0.5</v>
      </c>
      <c r="O15" s="136" t="s">
        <v>26</v>
      </c>
      <c r="P15" s="136"/>
      <c r="Q15" s="136"/>
      <c r="R15" s="136"/>
      <c r="S15" s="136"/>
      <c r="T15" s="136"/>
      <c r="U15" s="139" t="s">
        <v>26</v>
      </c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</row>
    <row r="16" spans="1:32" ht="29.25" customHeight="1" x14ac:dyDescent="0.2"/>
  </sheetData>
  <mergeCells count="35">
    <mergeCell ref="U8:W8"/>
    <mergeCell ref="AA8:AC8"/>
    <mergeCell ref="C10:E10"/>
    <mergeCell ref="C11:E11"/>
    <mergeCell ref="C12:E12"/>
    <mergeCell ref="AA12:AC12"/>
    <mergeCell ref="C14:H14"/>
    <mergeCell ref="I14:K14"/>
    <mergeCell ref="O14:Q14"/>
    <mergeCell ref="U14:AF14"/>
    <mergeCell ref="O15:T15"/>
    <mergeCell ref="U15:AF15"/>
    <mergeCell ref="I12:N12"/>
    <mergeCell ref="O12:T12"/>
    <mergeCell ref="U12:Z12"/>
    <mergeCell ref="C13:E13"/>
    <mergeCell ref="O13:Q13"/>
    <mergeCell ref="U13:AF13"/>
    <mergeCell ref="O8:Q8"/>
    <mergeCell ref="I9:N9"/>
    <mergeCell ref="O9:T9"/>
    <mergeCell ref="I11:K11"/>
    <mergeCell ref="O11:T11"/>
    <mergeCell ref="C8:E8"/>
    <mergeCell ref="I8:K8"/>
    <mergeCell ref="U4:AF4"/>
    <mergeCell ref="I5:N5"/>
    <mergeCell ref="O5:T5"/>
    <mergeCell ref="U5:Z5"/>
    <mergeCell ref="AA5:AF5"/>
    <mergeCell ref="B2:O2"/>
    <mergeCell ref="A4:A6"/>
    <mergeCell ref="B4:B6"/>
    <mergeCell ref="C4:H5"/>
    <mergeCell ref="I4:T4"/>
  </mergeCells>
  <pageMargins left="0.5" right="0" top="0.5" bottom="0.5" header="0.511811023622047" footer="0.511811023622047"/>
  <pageSetup paperSize="9" scale="6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04"/>
  <sheetViews>
    <sheetView topLeftCell="A15" zoomScale="85" zoomScaleNormal="85" workbookViewId="0">
      <selection activeCell="K22" sqref="K22"/>
    </sheetView>
  </sheetViews>
  <sheetFormatPr defaultColWidth="14.375" defaultRowHeight="14.25" x14ac:dyDescent="0.2"/>
  <cols>
    <col min="1" max="1" width="3.375" style="50" customWidth="1"/>
    <col min="2" max="2" width="8.75" style="50" customWidth="1"/>
    <col min="3" max="3" width="5.125" style="50" customWidth="1"/>
    <col min="4" max="33" width="7.125" style="50" customWidth="1"/>
    <col min="34" max="34" width="9.25" style="50" customWidth="1"/>
    <col min="35" max="35" width="8.5" style="50" bestFit="1" customWidth="1"/>
    <col min="36" max="36" width="11.75" style="50" bestFit="1" customWidth="1"/>
    <col min="37" max="37" width="7.875" style="50" bestFit="1" customWidth="1"/>
    <col min="38" max="38" width="9.125" style="50" customWidth="1"/>
    <col min="39" max="39" width="6.375" style="50" customWidth="1"/>
    <col min="40" max="16384" width="14.375" style="50"/>
  </cols>
  <sheetData>
    <row r="1" spans="1:39" ht="22.5" customHeight="1" x14ac:dyDescent="0.3">
      <c r="A1" s="22"/>
      <c r="B1" s="122" t="s">
        <v>86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9" ht="48" customHeight="1" x14ac:dyDescent="0.2">
      <c r="A2" s="123" t="s">
        <v>87</v>
      </c>
      <c r="B2" s="124" t="s">
        <v>3</v>
      </c>
      <c r="C2" s="124"/>
      <c r="D2" s="125" t="s">
        <v>88</v>
      </c>
      <c r="E2" s="125"/>
      <c r="F2" s="125"/>
      <c r="G2" s="125"/>
      <c r="H2" s="125"/>
      <c r="I2" s="125"/>
      <c r="J2" s="126" t="s">
        <v>89</v>
      </c>
      <c r="K2" s="126"/>
      <c r="L2" s="126"/>
      <c r="M2" s="126"/>
      <c r="N2" s="126"/>
      <c r="O2" s="126"/>
      <c r="P2" s="70" t="s">
        <v>90</v>
      </c>
      <c r="Q2" s="70"/>
      <c r="R2" s="70"/>
      <c r="S2" s="70"/>
      <c r="T2" s="70"/>
      <c r="U2" s="70"/>
      <c r="V2" s="70" t="s">
        <v>91</v>
      </c>
      <c r="W2" s="70"/>
      <c r="X2" s="70"/>
      <c r="Y2" s="70"/>
      <c r="Z2" s="70"/>
      <c r="AA2" s="70"/>
      <c r="AB2" s="70" t="s">
        <v>92</v>
      </c>
      <c r="AC2" s="70"/>
      <c r="AD2" s="70"/>
      <c r="AE2" s="70"/>
      <c r="AF2" s="70"/>
      <c r="AG2" s="70"/>
      <c r="AH2" s="31"/>
      <c r="AI2" s="31"/>
      <c r="AJ2" s="31"/>
      <c r="AK2" s="31"/>
      <c r="AL2" s="31"/>
      <c r="AM2" s="31"/>
    </row>
    <row r="3" spans="1:39" ht="147" customHeight="1" x14ac:dyDescent="0.2">
      <c r="A3" s="123"/>
      <c r="B3" s="124"/>
      <c r="C3" s="124"/>
      <c r="D3" s="127" t="s">
        <v>7</v>
      </c>
      <c r="E3" s="127" t="s">
        <v>8</v>
      </c>
      <c r="F3" s="127" t="s">
        <v>9</v>
      </c>
      <c r="G3" s="127" t="s">
        <v>93</v>
      </c>
      <c r="H3" s="127" t="s">
        <v>11</v>
      </c>
      <c r="I3" s="127" t="s">
        <v>12</v>
      </c>
      <c r="J3" s="127" t="s">
        <v>7</v>
      </c>
      <c r="K3" s="127" t="s">
        <v>8</v>
      </c>
      <c r="L3" s="127" t="s">
        <v>9</v>
      </c>
      <c r="M3" s="127" t="s">
        <v>93</v>
      </c>
      <c r="N3" s="127" t="s">
        <v>11</v>
      </c>
      <c r="O3" s="127" t="s">
        <v>12</v>
      </c>
      <c r="P3" s="127" t="s">
        <v>7</v>
      </c>
      <c r="Q3" s="127" t="s">
        <v>8</v>
      </c>
      <c r="R3" s="127" t="s">
        <v>9</v>
      </c>
      <c r="S3" s="127" t="s">
        <v>94</v>
      </c>
      <c r="T3" s="127" t="s">
        <v>11</v>
      </c>
      <c r="U3" s="127" t="s">
        <v>12</v>
      </c>
      <c r="V3" s="127" t="s">
        <v>7</v>
      </c>
      <c r="W3" s="127" t="s">
        <v>8</v>
      </c>
      <c r="X3" s="127" t="s">
        <v>9</v>
      </c>
      <c r="Y3" s="127" t="s">
        <v>93</v>
      </c>
      <c r="Z3" s="127" t="s">
        <v>11</v>
      </c>
      <c r="AA3" s="127" t="s">
        <v>95</v>
      </c>
      <c r="AB3" s="128" t="s">
        <v>7</v>
      </c>
      <c r="AC3" s="128" t="s">
        <v>8</v>
      </c>
      <c r="AD3" s="128" t="s">
        <v>9</v>
      </c>
      <c r="AE3" s="128" t="s">
        <v>93</v>
      </c>
      <c r="AF3" s="128" t="s">
        <v>11</v>
      </c>
      <c r="AG3" s="128" t="s">
        <v>12</v>
      </c>
      <c r="AH3" s="31"/>
      <c r="AI3" s="31"/>
      <c r="AJ3" s="31"/>
      <c r="AK3" s="31"/>
      <c r="AL3" s="31"/>
      <c r="AM3" s="31"/>
    </row>
    <row r="4" spans="1:39" ht="47.25" customHeight="1" x14ac:dyDescent="0.2">
      <c r="A4" s="69">
        <v>1</v>
      </c>
      <c r="B4" s="70" t="s">
        <v>96</v>
      </c>
      <c r="C4" s="70"/>
      <c r="D4" s="48">
        <v>10</v>
      </c>
      <c r="E4" s="48">
        <v>19</v>
      </c>
      <c r="F4" s="48" t="s">
        <v>23</v>
      </c>
      <c r="G4" s="48">
        <v>95</v>
      </c>
      <c r="H4" s="48">
        <v>64</v>
      </c>
      <c r="I4" s="71">
        <f t="shared" ref="I4:I10" si="0">H4/G4</f>
        <v>0.67368421052631577</v>
      </c>
      <c r="J4" s="48">
        <v>3</v>
      </c>
      <c r="K4" s="48">
        <v>7</v>
      </c>
      <c r="L4" s="48" t="s">
        <v>23</v>
      </c>
      <c r="M4" s="47">
        <v>55</v>
      </c>
      <c r="N4" s="48">
        <v>42</v>
      </c>
      <c r="O4" s="71">
        <f t="shared" ref="O4:O10" si="1">N4/M4</f>
        <v>0.76363636363636367</v>
      </c>
      <c r="P4" s="48">
        <v>265</v>
      </c>
      <c r="Q4" s="48">
        <v>710.05</v>
      </c>
      <c r="R4" s="48" t="s">
        <v>23</v>
      </c>
      <c r="S4" s="48" t="s">
        <v>17</v>
      </c>
      <c r="T4" s="48">
        <v>3044.87</v>
      </c>
      <c r="U4" s="71"/>
      <c r="V4" s="48">
        <v>79.5</v>
      </c>
      <c r="W4" s="47">
        <v>148.5</v>
      </c>
      <c r="X4" s="48" t="s">
        <v>23</v>
      </c>
      <c r="Y4" s="47">
        <v>1000</v>
      </c>
      <c r="Z4" s="72">
        <v>540.19000000000005</v>
      </c>
      <c r="AA4" s="73">
        <f t="shared" ref="AA4:AA11" si="2">Z4/Y4</f>
        <v>0.54019000000000006</v>
      </c>
      <c r="AB4" s="74" t="s">
        <v>26</v>
      </c>
      <c r="AC4" s="74"/>
      <c r="AD4" s="74"/>
      <c r="AE4" s="74"/>
      <c r="AF4" s="74"/>
      <c r="AG4" s="74"/>
      <c r="AH4" s="31"/>
      <c r="AI4" s="31"/>
      <c r="AJ4" s="31"/>
      <c r="AK4" s="31"/>
      <c r="AL4" s="31"/>
      <c r="AM4" s="31"/>
    </row>
    <row r="5" spans="1:39" s="18" customFormat="1" ht="33.75" customHeight="1" x14ac:dyDescent="0.2">
      <c r="A5" s="33">
        <v>2</v>
      </c>
      <c r="B5" s="44" t="s">
        <v>97</v>
      </c>
      <c r="C5" s="44"/>
      <c r="D5" s="16">
        <v>7</v>
      </c>
      <c r="E5" s="16">
        <v>12</v>
      </c>
      <c r="F5" s="16" t="s">
        <v>23</v>
      </c>
      <c r="G5" s="16">
        <v>70</v>
      </c>
      <c r="H5" s="16">
        <v>43</v>
      </c>
      <c r="I5" s="17">
        <f t="shared" si="0"/>
        <v>0.61428571428571432</v>
      </c>
      <c r="J5" s="16">
        <v>2</v>
      </c>
      <c r="K5" s="16">
        <v>2</v>
      </c>
      <c r="L5" s="16" t="s">
        <v>27</v>
      </c>
      <c r="M5" s="15">
        <v>24</v>
      </c>
      <c r="N5" s="16">
        <v>17</v>
      </c>
      <c r="O5" s="17">
        <f t="shared" si="1"/>
        <v>0.70833333333333337</v>
      </c>
      <c r="P5" s="45" t="s">
        <v>98</v>
      </c>
      <c r="Q5" s="45"/>
      <c r="R5" s="45"/>
      <c r="S5" s="45"/>
      <c r="T5" s="45"/>
      <c r="U5" s="45"/>
      <c r="V5" s="16">
        <v>129</v>
      </c>
      <c r="W5" s="15">
        <v>132.5</v>
      </c>
      <c r="X5" s="16" t="s">
        <v>99</v>
      </c>
      <c r="Y5" s="15">
        <v>1500</v>
      </c>
      <c r="Z5" s="34">
        <v>372.5</v>
      </c>
      <c r="AA5" s="35">
        <f t="shared" si="2"/>
        <v>0.24833333333333332</v>
      </c>
      <c r="AB5" s="45" t="s">
        <v>17</v>
      </c>
      <c r="AC5" s="45"/>
      <c r="AD5" s="45"/>
      <c r="AE5" s="16">
        <v>1</v>
      </c>
      <c r="AF5" s="16">
        <v>0</v>
      </c>
      <c r="AG5" s="35">
        <f>AF5/AE5</f>
        <v>0</v>
      </c>
      <c r="AH5" s="36"/>
      <c r="AI5" s="36"/>
      <c r="AJ5" s="36"/>
      <c r="AK5" s="36"/>
      <c r="AL5" s="36"/>
      <c r="AM5" s="36"/>
    </row>
    <row r="6" spans="1:39" ht="42" customHeight="1" x14ac:dyDescent="0.2">
      <c r="A6" s="69">
        <v>3</v>
      </c>
      <c r="B6" s="70" t="s">
        <v>100</v>
      </c>
      <c r="C6" s="70"/>
      <c r="D6" s="48">
        <v>1</v>
      </c>
      <c r="E6" s="48">
        <v>1</v>
      </c>
      <c r="F6" s="48" t="s">
        <v>27</v>
      </c>
      <c r="G6" s="48">
        <v>18</v>
      </c>
      <c r="H6" s="48">
        <v>8</v>
      </c>
      <c r="I6" s="71">
        <f t="shared" si="0"/>
        <v>0.44444444444444442</v>
      </c>
      <c r="J6" s="48" t="s">
        <v>17</v>
      </c>
      <c r="K6" s="48">
        <v>5</v>
      </c>
      <c r="L6" s="48" t="s">
        <v>23</v>
      </c>
      <c r="M6" s="47">
        <v>10</v>
      </c>
      <c r="N6" s="48">
        <v>9</v>
      </c>
      <c r="O6" s="71">
        <f t="shared" si="1"/>
        <v>0.9</v>
      </c>
      <c r="P6" s="48">
        <v>20</v>
      </c>
      <c r="Q6" s="48">
        <v>47.36</v>
      </c>
      <c r="R6" s="48" t="s">
        <v>23</v>
      </c>
      <c r="S6" s="48">
        <v>500</v>
      </c>
      <c r="T6" s="48">
        <v>260.26</v>
      </c>
      <c r="U6" s="71">
        <f>T6/S6</f>
        <v>0.52051999999999998</v>
      </c>
      <c r="V6" s="48">
        <v>40</v>
      </c>
      <c r="W6" s="47">
        <v>91.17</v>
      </c>
      <c r="X6" s="48" t="s">
        <v>23</v>
      </c>
      <c r="Y6" s="47">
        <v>150</v>
      </c>
      <c r="Z6" s="81">
        <v>141.94999999999999</v>
      </c>
      <c r="AA6" s="73">
        <f t="shared" si="2"/>
        <v>0.94633333333333325</v>
      </c>
      <c r="AB6" s="74" t="s">
        <v>26</v>
      </c>
      <c r="AC6" s="74"/>
      <c r="AD6" s="74"/>
      <c r="AE6" s="74"/>
      <c r="AF6" s="74"/>
      <c r="AG6" s="74"/>
      <c r="AH6" s="31"/>
      <c r="AI6" s="31"/>
      <c r="AJ6" s="31"/>
      <c r="AK6" s="31"/>
      <c r="AL6" s="31"/>
      <c r="AM6" s="31"/>
    </row>
    <row r="7" spans="1:39" ht="42" customHeight="1" x14ac:dyDescent="0.2">
      <c r="A7" s="69">
        <v>4</v>
      </c>
      <c r="B7" s="70" t="s">
        <v>101</v>
      </c>
      <c r="C7" s="70"/>
      <c r="D7" s="48" t="s">
        <v>17</v>
      </c>
      <c r="E7" s="48">
        <v>2</v>
      </c>
      <c r="F7" s="48" t="s">
        <v>23</v>
      </c>
      <c r="G7" s="48">
        <v>8</v>
      </c>
      <c r="H7" s="48">
        <v>6</v>
      </c>
      <c r="I7" s="71">
        <f t="shared" si="0"/>
        <v>0.75</v>
      </c>
      <c r="J7" s="74" t="s">
        <v>17</v>
      </c>
      <c r="K7" s="74"/>
      <c r="L7" s="74"/>
      <c r="M7" s="47">
        <v>6</v>
      </c>
      <c r="N7" s="48">
        <v>5</v>
      </c>
      <c r="O7" s="71">
        <f t="shared" si="1"/>
        <v>0.83333333333333337</v>
      </c>
      <c r="P7" s="48" t="s">
        <v>17</v>
      </c>
      <c r="Q7" s="48">
        <v>56.4</v>
      </c>
      <c r="R7" s="48" t="s">
        <v>23</v>
      </c>
      <c r="S7" s="48" t="s">
        <v>17</v>
      </c>
      <c r="T7" s="48">
        <v>216.55</v>
      </c>
      <c r="U7" s="71"/>
      <c r="V7" s="48" t="s">
        <v>17</v>
      </c>
      <c r="W7" s="47">
        <v>7.5250000000000004</v>
      </c>
      <c r="X7" s="48" t="s">
        <v>23</v>
      </c>
      <c r="Y7" s="47">
        <v>50</v>
      </c>
      <c r="Z7" s="81">
        <v>21.975000000000001</v>
      </c>
      <c r="AA7" s="73">
        <f t="shared" si="2"/>
        <v>0.4395</v>
      </c>
      <c r="AB7" s="74" t="s">
        <v>26</v>
      </c>
      <c r="AC7" s="74"/>
      <c r="AD7" s="74"/>
      <c r="AE7" s="74"/>
      <c r="AF7" s="74"/>
      <c r="AG7" s="74"/>
      <c r="AH7" s="31"/>
      <c r="AI7" s="31"/>
      <c r="AJ7" s="31"/>
      <c r="AK7" s="31"/>
      <c r="AL7" s="31"/>
      <c r="AM7" s="31"/>
    </row>
    <row r="8" spans="1:39" ht="42" customHeight="1" x14ac:dyDescent="0.2">
      <c r="A8" s="69">
        <v>5</v>
      </c>
      <c r="B8" s="70" t="s">
        <v>102</v>
      </c>
      <c r="C8" s="70"/>
      <c r="D8" s="48">
        <v>0</v>
      </c>
      <c r="E8" s="48">
        <v>0</v>
      </c>
      <c r="F8" s="48" t="s">
        <v>17</v>
      </c>
      <c r="G8" s="48">
        <v>6</v>
      </c>
      <c r="H8" s="48">
        <v>2</v>
      </c>
      <c r="I8" s="71">
        <f t="shared" si="0"/>
        <v>0.33333333333333331</v>
      </c>
      <c r="J8" s="48">
        <v>0</v>
      </c>
      <c r="K8" s="48">
        <v>1</v>
      </c>
      <c r="L8" s="48" t="s">
        <v>21</v>
      </c>
      <c r="M8" s="47">
        <v>7</v>
      </c>
      <c r="N8" s="48">
        <v>7</v>
      </c>
      <c r="O8" s="71">
        <f t="shared" si="1"/>
        <v>1</v>
      </c>
      <c r="P8" s="48">
        <v>0</v>
      </c>
      <c r="Q8" s="48">
        <v>25</v>
      </c>
      <c r="R8" s="48" t="s">
        <v>23</v>
      </c>
      <c r="S8" s="48" t="s">
        <v>17</v>
      </c>
      <c r="T8" s="48">
        <v>285</v>
      </c>
      <c r="U8" s="71"/>
      <c r="V8" s="48">
        <v>223</v>
      </c>
      <c r="W8" s="47">
        <v>34.799999999999997</v>
      </c>
      <c r="X8" s="48" t="s">
        <v>59</v>
      </c>
      <c r="Y8" s="47">
        <v>2000</v>
      </c>
      <c r="Z8" s="81">
        <v>169.6</v>
      </c>
      <c r="AA8" s="73">
        <f t="shared" si="2"/>
        <v>8.48E-2</v>
      </c>
      <c r="AB8" s="74" t="s">
        <v>26</v>
      </c>
      <c r="AC8" s="74"/>
      <c r="AD8" s="74"/>
      <c r="AE8" s="74"/>
      <c r="AF8" s="74"/>
      <c r="AG8" s="74"/>
      <c r="AH8" s="31"/>
      <c r="AI8" s="31"/>
      <c r="AJ8" s="31"/>
      <c r="AK8" s="31"/>
      <c r="AL8" s="31"/>
      <c r="AM8" s="31"/>
    </row>
    <row r="9" spans="1:39" ht="42" customHeight="1" x14ac:dyDescent="0.2">
      <c r="A9" s="69">
        <v>6</v>
      </c>
      <c r="B9" s="70" t="s">
        <v>103</v>
      </c>
      <c r="C9" s="70"/>
      <c r="D9" s="48">
        <v>1</v>
      </c>
      <c r="E9" s="48">
        <v>1</v>
      </c>
      <c r="F9" s="48" t="s">
        <v>27</v>
      </c>
      <c r="G9" s="48">
        <v>7</v>
      </c>
      <c r="H9" s="48">
        <v>4</v>
      </c>
      <c r="I9" s="71">
        <f t="shared" si="0"/>
        <v>0.5714285714285714</v>
      </c>
      <c r="J9" s="48">
        <v>0</v>
      </c>
      <c r="K9" s="48">
        <v>1</v>
      </c>
      <c r="L9" s="48" t="s">
        <v>21</v>
      </c>
      <c r="M9" s="47">
        <v>8</v>
      </c>
      <c r="N9" s="48">
        <v>8</v>
      </c>
      <c r="O9" s="71">
        <f t="shared" si="1"/>
        <v>1</v>
      </c>
      <c r="P9" s="74" t="s">
        <v>17</v>
      </c>
      <c r="Q9" s="74"/>
      <c r="R9" s="74"/>
      <c r="S9" s="74"/>
      <c r="T9" s="74"/>
      <c r="U9" s="74"/>
      <c r="V9" s="48">
        <v>14</v>
      </c>
      <c r="W9" s="47">
        <v>9.5</v>
      </c>
      <c r="X9" s="48" t="s">
        <v>59</v>
      </c>
      <c r="Y9" s="47">
        <v>200</v>
      </c>
      <c r="Z9" s="81">
        <v>90</v>
      </c>
      <c r="AA9" s="73">
        <f t="shared" si="2"/>
        <v>0.45</v>
      </c>
      <c r="AB9" s="74" t="s">
        <v>26</v>
      </c>
      <c r="AC9" s="74"/>
      <c r="AD9" s="74"/>
      <c r="AE9" s="74"/>
      <c r="AF9" s="74"/>
      <c r="AG9" s="74"/>
      <c r="AH9" s="31"/>
      <c r="AI9" s="31"/>
      <c r="AJ9" s="31"/>
      <c r="AK9" s="31"/>
      <c r="AL9" s="31"/>
      <c r="AM9" s="31"/>
    </row>
    <row r="10" spans="1:39" ht="48.75" customHeight="1" x14ac:dyDescent="0.2">
      <c r="A10" s="69">
        <v>7</v>
      </c>
      <c r="B10" s="70" t="s">
        <v>104</v>
      </c>
      <c r="C10" s="70"/>
      <c r="D10" s="104" t="s">
        <v>17</v>
      </c>
      <c r="E10" s="105"/>
      <c r="F10" s="106"/>
      <c r="G10" s="48">
        <v>6</v>
      </c>
      <c r="H10" s="48">
        <v>4</v>
      </c>
      <c r="I10" s="71">
        <f t="shared" si="0"/>
        <v>0.66666666666666663</v>
      </c>
      <c r="J10" s="48">
        <v>1</v>
      </c>
      <c r="K10" s="48">
        <v>2</v>
      </c>
      <c r="L10" s="48" t="s">
        <v>21</v>
      </c>
      <c r="M10" s="47">
        <v>5</v>
      </c>
      <c r="N10" s="48">
        <v>3</v>
      </c>
      <c r="O10" s="71">
        <f t="shared" si="1"/>
        <v>0.6</v>
      </c>
      <c r="P10" s="74" t="s">
        <v>17</v>
      </c>
      <c r="Q10" s="74"/>
      <c r="R10" s="74"/>
      <c r="S10" s="74"/>
      <c r="T10" s="74"/>
      <c r="U10" s="74"/>
      <c r="V10" s="104" t="s">
        <v>17</v>
      </c>
      <c r="W10" s="105"/>
      <c r="X10" s="106"/>
      <c r="Y10" s="47">
        <v>50</v>
      </c>
      <c r="Z10" s="81">
        <v>27</v>
      </c>
      <c r="AA10" s="73">
        <f t="shared" si="2"/>
        <v>0.54</v>
      </c>
      <c r="AB10" s="74" t="s">
        <v>26</v>
      </c>
      <c r="AC10" s="74"/>
      <c r="AD10" s="74"/>
      <c r="AE10" s="74"/>
      <c r="AF10" s="74"/>
      <c r="AG10" s="74"/>
      <c r="AH10" s="31"/>
      <c r="AI10" s="31"/>
      <c r="AJ10" s="31"/>
      <c r="AK10" s="31"/>
      <c r="AL10" s="31"/>
      <c r="AM10" s="31"/>
    </row>
    <row r="11" spans="1:39" s="52" customFormat="1" ht="50.25" customHeight="1" x14ac:dyDescent="0.2">
      <c r="A11" s="96">
        <v>8</v>
      </c>
      <c r="B11" s="97" t="s">
        <v>35</v>
      </c>
      <c r="C11" s="97"/>
      <c r="D11" s="98" t="s">
        <v>26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9" t="s">
        <v>17</v>
      </c>
      <c r="W11" s="99"/>
      <c r="X11" s="99"/>
      <c r="Y11" s="51">
        <v>1000</v>
      </c>
      <c r="Z11" s="100">
        <v>14.8</v>
      </c>
      <c r="AA11" s="101">
        <f t="shared" si="2"/>
        <v>1.4800000000000001E-2</v>
      </c>
      <c r="AB11" s="98" t="s">
        <v>26</v>
      </c>
      <c r="AC11" s="98"/>
      <c r="AD11" s="98"/>
      <c r="AE11" s="98"/>
      <c r="AF11" s="98"/>
      <c r="AG11" s="98"/>
      <c r="AH11" s="102"/>
      <c r="AI11" s="102"/>
      <c r="AJ11" s="102"/>
      <c r="AK11" s="102"/>
      <c r="AL11" s="102"/>
      <c r="AM11" s="102"/>
    </row>
    <row r="12" spans="1:39" ht="42.75" customHeight="1" x14ac:dyDescent="0.25">
      <c r="A12" s="25"/>
      <c r="B12" s="31"/>
      <c r="C12" s="31"/>
      <c r="D12" s="31"/>
      <c r="E12" s="31"/>
      <c r="F12" s="31"/>
      <c r="G12" s="31"/>
      <c r="H12" s="31"/>
      <c r="I12" s="129"/>
      <c r="J12" s="129"/>
      <c r="K12" s="129"/>
      <c r="L12" s="31"/>
      <c r="M12" s="31"/>
      <c r="N12" s="129"/>
      <c r="O12" s="129"/>
      <c r="P12" s="129"/>
      <c r="Q12" s="129"/>
      <c r="R12" s="31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31"/>
      <c r="AH12" s="129"/>
      <c r="AI12" s="129"/>
      <c r="AJ12" s="129"/>
      <c r="AK12" s="129"/>
      <c r="AL12" s="31"/>
      <c r="AM12" s="31"/>
    </row>
    <row r="13" spans="1:39" ht="38.25" customHeight="1" x14ac:dyDescent="0.2">
      <c r="A13" s="130" t="s">
        <v>87</v>
      </c>
      <c r="B13" s="70" t="s">
        <v>105</v>
      </c>
      <c r="C13" s="70"/>
      <c r="D13" s="70" t="s">
        <v>106</v>
      </c>
      <c r="E13" s="70"/>
      <c r="F13" s="70"/>
      <c r="G13" s="70"/>
      <c r="H13" s="70"/>
      <c r="I13" s="70"/>
      <c r="J13" s="70" t="s">
        <v>107</v>
      </c>
      <c r="K13" s="70"/>
      <c r="L13" s="70"/>
      <c r="M13" s="70"/>
      <c r="N13" s="70"/>
      <c r="O13" s="70"/>
      <c r="P13" s="70" t="s">
        <v>108</v>
      </c>
      <c r="Q13" s="70"/>
      <c r="R13" s="70"/>
      <c r="S13" s="70"/>
      <c r="T13" s="70"/>
      <c r="U13" s="70"/>
      <c r="V13" s="70" t="s">
        <v>109</v>
      </c>
      <c r="W13" s="70"/>
      <c r="X13" s="70"/>
      <c r="Y13" s="70"/>
      <c r="Z13" s="70"/>
      <c r="AA13" s="70"/>
      <c r="AB13" s="131" t="s">
        <v>110</v>
      </c>
      <c r="AC13" s="131"/>
      <c r="AD13" s="131"/>
      <c r="AE13" s="131"/>
      <c r="AF13" s="131"/>
      <c r="AG13" s="131"/>
      <c r="AH13" s="70" t="s">
        <v>111</v>
      </c>
      <c r="AI13" s="70"/>
      <c r="AJ13" s="70"/>
      <c r="AK13" s="70"/>
      <c r="AL13" s="70"/>
      <c r="AM13" s="70"/>
    </row>
    <row r="14" spans="1:39" ht="92.25" customHeight="1" x14ac:dyDescent="0.2">
      <c r="A14" s="130"/>
      <c r="B14" s="70"/>
      <c r="C14" s="70"/>
      <c r="D14" s="127" t="s">
        <v>7</v>
      </c>
      <c r="E14" s="127" t="s">
        <v>8</v>
      </c>
      <c r="F14" s="127" t="s">
        <v>9</v>
      </c>
      <c r="G14" s="127" t="s">
        <v>93</v>
      </c>
      <c r="H14" s="127" t="s">
        <v>11</v>
      </c>
      <c r="I14" s="127" t="s">
        <v>12</v>
      </c>
      <c r="J14" s="127" t="s">
        <v>7</v>
      </c>
      <c r="K14" s="127" t="s">
        <v>8</v>
      </c>
      <c r="L14" s="127" t="s">
        <v>9</v>
      </c>
      <c r="M14" s="127" t="s">
        <v>93</v>
      </c>
      <c r="N14" s="127" t="s">
        <v>11</v>
      </c>
      <c r="O14" s="127" t="s">
        <v>12</v>
      </c>
      <c r="P14" s="127" t="s">
        <v>7</v>
      </c>
      <c r="Q14" s="127" t="s">
        <v>8</v>
      </c>
      <c r="R14" s="127" t="s">
        <v>9</v>
      </c>
      <c r="S14" s="127" t="s">
        <v>93</v>
      </c>
      <c r="T14" s="127" t="s">
        <v>11</v>
      </c>
      <c r="U14" s="127" t="s">
        <v>12</v>
      </c>
      <c r="V14" s="132" t="s">
        <v>7</v>
      </c>
      <c r="W14" s="127" t="s">
        <v>8</v>
      </c>
      <c r="X14" s="132" t="s">
        <v>9</v>
      </c>
      <c r="Y14" s="132" t="s">
        <v>93</v>
      </c>
      <c r="Z14" s="132" t="s">
        <v>11</v>
      </c>
      <c r="AA14" s="132" t="s">
        <v>12</v>
      </c>
      <c r="AB14" s="127" t="s">
        <v>7</v>
      </c>
      <c r="AC14" s="127" t="s">
        <v>8</v>
      </c>
      <c r="AD14" s="127" t="s">
        <v>9</v>
      </c>
      <c r="AE14" s="127" t="s">
        <v>93</v>
      </c>
      <c r="AF14" s="127" t="s">
        <v>11</v>
      </c>
      <c r="AG14" s="127" t="s">
        <v>12</v>
      </c>
      <c r="AH14" s="132" t="s">
        <v>7</v>
      </c>
      <c r="AI14" s="127" t="s">
        <v>8</v>
      </c>
      <c r="AJ14" s="132" t="s">
        <v>9</v>
      </c>
      <c r="AK14" s="132" t="s">
        <v>93</v>
      </c>
      <c r="AL14" s="132" t="s">
        <v>11</v>
      </c>
      <c r="AM14" s="132" t="s">
        <v>12</v>
      </c>
    </row>
    <row r="15" spans="1:39" ht="38.25" customHeight="1" x14ac:dyDescent="0.2">
      <c r="A15" s="69">
        <v>1</v>
      </c>
      <c r="B15" s="70" t="s">
        <v>96</v>
      </c>
      <c r="C15" s="70"/>
      <c r="D15" s="74" t="s">
        <v>17</v>
      </c>
      <c r="E15" s="74"/>
      <c r="F15" s="74"/>
      <c r="G15" s="47">
        <v>4</v>
      </c>
      <c r="H15" s="47">
        <v>0</v>
      </c>
      <c r="I15" s="71">
        <f>H15/G15</f>
        <v>0</v>
      </c>
      <c r="J15" s="47">
        <v>0</v>
      </c>
      <c r="K15" s="47">
        <v>6</v>
      </c>
      <c r="L15" s="71" t="s">
        <v>23</v>
      </c>
      <c r="M15" s="48">
        <v>6</v>
      </c>
      <c r="N15" s="48">
        <v>6</v>
      </c>
      <c r="O15" s="71">
        <f t="shared" ref="O15:O21" si="3">N15/M15</f>
        <v>1</v>
      </c>
      <c r="P15" s="75">
        <v>2</v>
      </c>
      <c r="Q15" s="75">
        <v>4</v>
      </c>
      <c r="R15" s="76" t="s">
        <v>23</v>
      </c>
      <c r="S15" s="48">
        <v>8</v>
      </c>
      <c r="T15" s="48">
        <v>8</v>
      </c>
      <c r="U15" s="71">
        <f t="shared" ref="U15:U21" si="4">T15/S15</f>
        <v>1</v>
      </c>
      <c r="V15" s="77" t="s">
        <v>17</v>
      </c>
      <c r="W15" s="77"/>
      <c r="X15" s="77"/>
      <c r="Y15" s="48">
        <v>2</v>
      </c>
      <c r="Z15" s="47">
        <v>0</v>
      </c>
      <c r="AA15" s="71">
        <f>Z15/Y15</f>
        <v>0</v>
      </c>
      <c r="AB15" s="78" t="s">
        <v>17</v>
      </c>
      <c r="AC15" s="79"/>
      <c r="AD15" s="80"/>
      <c r="AE15" s="47">
        <v>1</v>
      </c>
      <c r="AF15" s="47">
        <v>1</v>
      </c>
      <c r="AG15" s="71">
        <v>1</v>
      </c>
      <c r="AH15" s="48">
        <v>85</v>
      </c>
      <c r="AI15" s="48">
        <v>113</v>
      </c>
      <c r="AJ15" s="48" t="s">
        <v>23</v>
      </c>
      <c r="AK15" s="48">
        <v>800</v>
      </c>
      <c r="AL15" s="48">
        <v>486</v>
      </c>
      <c r="AM15" s="71">
        <f t="shared" ref="AM15:AM21" si="5">AL15/AK15</f>
        <v>0.60750000000000004</v>
      </c>
    </row>
    <row r="16" spans="1:39" s="18" customFormat="1" ht="38.25" customHeight="1" x14ac:dyDescent="0.2">
      <c r="A16" s="33">
        <v>2</v>
      </c>
      <c r="B16" s="44" t="s">
        <v>97</v>
      </c>
      <c r="C16" s="44"/>
      <c r="D16" s="45" t="s">
        <v>17</v>
      </c>
      <c r="E16" s="45"/>
      <c r="F16" s="45"/>
      <c r="G16" s="15">
        <v>1</v>
      </c>
      <c r="H16" s="15">
        <v>0</v>
      </c>
      <c r="I16" s="17">
        <f>H16/G16</f>
        <v>0</v>
      </c>
      <c r="J16" s="16">
        <v>1</v>
      </c>
      <c r="K16" s="16">
        <v>2</v>
      </c>
      <c r="L16" s="17">
        <v>2</v>
      </c>
      <c r="M16" s="16">
        <v>2</v>
      </c>
      <c r="N16" s="16">
        <v>2</v>
      </c>
      <c r="O16" s="17">
        <f t="shared" si="3"/>
        <v>1</v>
      </c>
      <c r="P16" s="16">
        <v>0</v>
      </c>
      <c r="Q16" s="16">
        <v>3</v>
      </c>
      <c r="R16" s="16" t="s">
        <v>23</v>
      </c>
      <c r="S16" s="16">
        <v>3</v>
      </c>
      <c r="T16" s="16">
        <v>3</v>
      </c>
      <c r="U16" s="17">
        <f t="shared" si="4"/>
        <v>1</v>
      </c>
      <c r="V16" s="45" t="s">
        <v>26</v>
      </c>
      <c r="W16" s="45"/>
      <c r="X16" s="45"/>
      <c r="Y16" s="45"/>
      <c r="Z16" s="45"/>
      <c r="AA16" s="45"/>
      <c r="AB16" s="46" t="s">
        <v>17</v>
      </c>
      <c r="AC16" s="46"/>
      <c r="AD16" s="46"/>
      <c r="AE16" s="103">
        <v>1</v>
      </c>
      <c r="AF16" s="103">
        <v>0</v>
      </c>
      <c r="AG16" s="17">
        <v>0</v>
      </c>
      <c r="AH16" s="16">
        <v>14</v>
      </c>
      <c r="AI16" s="16">
        <v>31</v>
      </c>
      <c r="AJ16" s="16" t="s">
        <v>23</v>
      </c>
      <c r="AK16" s="16">
        <v>300</v>
      </c>
      <c r="AL16" s="16">
        <v>241</v>
      </c>
      <c r="AM16" s="17">
        <f t="shared" si="5"/>
        <v>0.80333333333333334</v>
      </c>
    </row>
    <row r="17" spans="1:39" ht="38.25" customHeight="1" x14ac:dyDescent="0.2">
      <c r="A17" s="69">
        <v>3</v>
      </c>
      <c r="B17" s="70" t="s">
        <v>100</v>
      </c>
      <c r="C17" s="70"/>
      <c r="D17" s="74" t="s">
        <v>26</v>
      </c>
      <c r="E17" s="74"/>
      <c r="F17" s="74"/>
      <c r="G17" s="74"/>
      <c r="H17" s="74"/>
      <c r="I17" s="74"/>
      <c r="J17" s="93" t="s">
        <v>17</v>
      </c>
      <c r="K17" s="93"/>
      <c r="L17" s="93"/>
      <c r="M17" s="48">
        <v>2</v>
      </c>
      <c r="N17" s="48">
        <v>2</v>
      </c>
      <c r="O17" s="49">
        <f t="shared" si="3"/>
        <v>1</v>
      </c>
      <c r="P17" s="93" t="s">
        <v>17</v>
      </c>
      <c r="Q17" s="93"/>
      <c r="R17" s="93"/>
      <c r="S17" s="48">
        <v>2</v>
      </c>
      <c r="T17" s="48">
        <v>2</v>
      </c>
      <c r="U17" s="71">
        <f t="shared" si="4"/>
        <v>1</v>
      </c>
      <c r="V17" s="74" t="s">
        <v>26</v>
      </c>
      <c r="W17" s="74"/>
      <c r="X17" s="74"/>
      <c r="Y17" s="74"/>
      <c r="Z17" s="74"/>
      <c r="AA17" s="74"/>
      <c r="AB17" s="74" t="s">
        <v>26</v>
      </c>
      <c r="AC17" s="74"/>
      <c r="AD17" s="74"/>
      <c r="AE17" s="74"/>
      <c r="AF17" s="74"/>
      <c r="AG17" s="74"/>
      <c r="AH17" s="48">
        <v>13</v>
      </c>
      <c r="AI17" s="48">
        <v>13</v>
      </c>
      <c r="AJ17" s="48" t="s">
        <v>27</v>
      </c>
      <c r="AK17" s="48">
        <v>130</v>
      </c>
      <c r="AL17" s="48">
        <v>92</v>
      </c>
      <c r="AM17" s="71">
        <f t="shared" si="5"/>
        <v>0.70769230769230773</v>
      </c>
    </row>
    <row r="18" spans="1:39" ht="38.25" customHeight="1" x14ac:dyDescent="0.2">
      <c r="A18" s="69">
        <v>4</v>
      </c>
      <c r="B18" s="70" t="s">
        <v>101</v>
      </c>
      <c r="C18" s="70"/>
      <c r="D18" s="74" t="s">
        <v>26</v>
      </c>
      <c r="E18" s="74"/>
      <c r="F18" s="74"/>
      <c r="G18" s="74"/>
      <c r="H18" s="74"/>
      <c r="I18" s="74"/>
      <c r="J18" s="93" t="s">
        <v>17</v>
      </c>
      <c r="K18" s="93"/>
      <c r="L18" s="93"/>
      <c r="M18" s="48">
        <v>1</v>
      </c>
      <c r="N18" s="48">
        <v>1</v>
      </c>
      <c r="O18" s="49">
        <f t="shared" si="3"/>
        <v>1</v>
      </c>
      <c r="P18" s="93" t="s">
        <v>17</v>
      </c>
      <c r="Q18" s="93"/>
      <c r="R18" s="93"/>
      <c r="S18" s="48">
        <v>2</v>
      </c>
      <c r="T18" s="48">
        <v>2</v>
      </c>
      <c r="U18" s="71">
        <f t="shared" si="4"/>
        <v>1</v>
      </c>
      <c r="V18" s="74" t="s">
        <v>26</v>
      </c>
      <c r="W18" s="74"/>
      <c r="X18" s="74"/>
      <c r="Y18" s="74"/>
      <c r="Z18" s="74"/>
      <c r="AA18" s="74"/>
      <c r="AB18" s="74" t="s">
        <v>26</v>
      </c>
      <c r="AC18" s="74"/>
      <c r="AD18" s="74"/>
      <c r="AE18" s="74"/>
      <c r="AF18" s="74"/>
      <c r="AG18" s="74"/>
      <c r="AH18" s="48">
        <v>5</v>
      </c>
      <c r="AI18" s="48">
        <v>13</v>
      </c>
      <c r="AJ18" s="16" t="s">
        <v>23</v>
      </c>
      <c r="AK18" s="48">
        <v>120</v>
      </c>
      <c r="AL18" s="48">
        <v>85</v>
      </c>
      <c r="AM18" s="71">
        <f t="shared" si="5"/>
        <v>0.70833333333333337</v>
      </c>
    </row>
    <row r="19" spans="1:39" ht="38.25" customHeight="1" x14ac:dyDescent="0.2">
      <c r="A19" s="69">
        <v>5</v>
      </c>
      <c r="B19" s="70" t="s">
        <v>102</v>
      </c>
      <c r="C19" s="70"/>
      <c r="D19" s="74" t="s">
        <v>26</v>
      </c>
      <c r="E19" s="74"/>
      <c r="F19" s="74"/>
      <c r="G19" s="74"/>
      <c r="H19" s="74"/>
      <c r="I19" s="74"/>
      <c r="J19" s="48">
        <v>1</v>
      </c>
      <c r="K19" s="48">
        <v>0</v>
      </c>
      <c r="L19" s="48" t="s">
        <v>59</v>
      </c>
      <c r="M19" s="48">
        <v>2</v>
      </c>
      <c r="N19" s="48">
        <v>1</v>
      </c>
      <c r="O19" s="49">
        <f t="shared" si="3"/>
        <v>0.5</v>
      </c>
      <c r="P19" s="48">
        <v>1</v>
      </c>
      <c r="Q19" s="48">
        <v>2</v>
      </c>
      <c r="R19" s="16" t="s">
        <v>23</v>
      </c>
      <c r="S19" s="48">
        <v>2</v>
      </c>
      <c r="T19" s="48">
        <v>2</v>
      </c>
      <c r="U19" s="71">
        <f t="shared" si="4"/>
        <v>1</v>
      </c>
      <c r="V19" s="74" t="s">
        <v>26</v>
      </c>
      <c r="W19" s="74"/>
      <c r="X19" s="74"/>
      <c r="Y19" s="74"/>
      <c r="Z19" s="74"/>
      <c r="AA19" s="74"/>
      <c r="AB19" s="74" t="s">
        <v>26</v>
      </c>
      <c r="AC19" s="74"/>
      <c r="AD19" s="74"/>
      <c r="AE19" s="74"/>
      <c r="AF19" s="74"/>
      <c r="AG19" s="74"/>
      <c r="AH19" s="48">
        <v>10</v>
      </c>
      <c r="AI19" s="48">
        <v>14</v>
      </c>
      <c r="AJ19" s="48" t="s">
        <v>23</v>
      </c>
      <c r="AK19" s="48">
        <v>110</v>
      </c>
      <c r="AL19" s="48">
        <v>115</v>
      </c>
      <c r="AM19" s="71">
        <f t="shared" si="5"/>
        <v>1.0454545454545454</v>
      </c>
    </row>
    <row r="20" spans="1:39" ht="38.25" customHeight="1" x14ac:dyDescent="0.2">
      <c r="A20" s="69">
        <v>6</v>
      </c>
      <c r="B20" s="70" t="s">
        <v>103</v>
      </c>
      <c r="C20" s="70"/>
      <c r="D20" s="74" t="s">
        <v>26</v>
      </c>
      <c r="E20" s="74"/>
      <c r="F20" s="74"/>
      <c r="G20" s="74"/>
      <c r="H20" s="74"/>
      <c r="I20" s="74"/>
      <c r="J20" s="48">
        <v>1</v>
      </c>
      <c r="K20" s="48">
        <v>1</v>
      </c>
      <c r="L20" s="16" t="s">
        <v>27</v>
      </c>
      <c r="M20" s="48">
        <v>2</v>
      </c>
      <c r="N20" s="48">
        <v>1</v>
      </c>
      <c r="O20" s="49">
        <f t="shared" si="3"/>
        <v>0.5</v>
      </c>
      <c r="P20" s="48">
        <v>1</v>
      </c>
      <c r="Q20" s="48">
        <v>2</v>
      </c>
      <c r="R20" s="16" t="s">
        <v>23</v>
      </c>
      <c r="S20" s="48">
        <v>2</v>
      </c>
      <c r="T20" s="48">
        <v>2</v>
      </c>
      <c r="U20" s="71">
        <f t="shared" si="4"/>
        <v>1</v>
      </c>
      <c r="V20" s="74" t="s">
        <v>26</v>
      </c>
      <c r="W20" s="74"/>
      <c r="X20" s="74"/>
      <c r="Y20" s="74"/>
      <c r="Z20" s="74"/>
      <c r="AA20" s="74"/>
      <c r="AB20" s="74" t="s">
        <v>26</v>
      </c>
      <c r="AC20" s="74"/>
      <c r="AD20" s="74"/>
      <c r="AE20" s="74"/>
      <c r="AF20" s="74"/>
      <c r="AG20" s="74"/>
      <c r="AH20" s="48">
        <v>14</v>
      </c>
      <c r="AI20" s="48">
        <v>17</v>
      </c>
      <c r="AJ20" s="48" t="s">
        <v>23</v>
      </c>
      <c r="AK20" s="48">
        <v>110</v>
      </c>
      <c r="AL20" s="48">
        <v>97</v>
      </c>
      <c r="AM20" s="71">
        <f t="shared" si="5"/>
        <v>0.88181818181818183</v>
      </c>
    </row>
    <row r="21" spans="1:39" ht="38.25" customHeight="1" x14ac:dyDescent="0.2">
      <c r="A21" s="69">
        <v>7</v>
      </c>
      <c r="B21" s="70" t="s">
        <v>104</v>
      </c>
      <c r="C21" s="70"/>
      <c r="D21" s="74" t="s">
        <v>26</v>
      </c>
      <c r="E21" s="74"/>
      <c r="F21" s="74"/>
      <c r="G21" s="74"/>
      <c r="H21" s="74"/>
      <c r="I21" s="74"/>
      <c r="J21" s="48">
        <v>1</v>
      </c>
      <c r="K21" s="48">
        <v>0</v>
      </c>
      <c r="L21" s="48" t="s">
        <v>59</v>
      </c>
      <c r="M21" s="48">
        <v>2</v>
      </c>
      <c r="N21" s="48">
        <v>0</v>
      </c>
      <c r="O21" s="49">
        <f t="shared" si="3"/>
        <v>0</v>
      </c>
      <c r="P21" s="47">
        <v>1</v>
      </c>
      <c r="Q21" s="48">
        <v>1</v>
      </c>
      <c r="R21" s="48" t="s">
        <v>27</v>
      </c>
      <c r="S21" s="48">
        <v>2</v>
      </c>
      <c r="T21" s="48">
        <v>1</v>
      </c>
      <c r="U21" s="71">
        <f t="shared" si="4"/>
        <v>0.5</v>
      </c>
      <c r="V21" s="74" t="s">
        <v>26</v>
      </c>
      <c r="W21" s="74"/>
      <c r="X21" s="74"/>
      <c r="Y21" s="74"/>
      <c r="Z21" s="74"/>
      <c r="AA21" s="74"/>
      <c r="AB21" s="74" t="s">
        <v>26</v>
      </c>
      <c r="AC21" s="74"/>
      <c r="AD21" s="74"/>
      <c r="AE21" s="74"/>
      <c r="AF21" s="74"/>
      <c r="AG21" s="74"/>
      <c r="AH21" s="48">
        <v>12</v>
      </c>
      <c r="AI21" s="48">
        <v>17</v>
      </c>
      <c r="AJ21" s="48" t="s">
        <v>23</v>
      </c>
      <c r="AK21" s="48">
        <v>110</v>
      </c>
      <c r="AL21" s="48">
        <v>109</v>
      </c>
      <c r="AM21" s="71">
        <f t="shared" si="5"/>
        <v>0.99090909090909096</v>
      </c>
    </row>
    <row r="22" spans="1:39" ht="15" customHeight="1" x14ac:dyDescent="0.25">
      <c r="A22" s="22"/>
      <c r="B22" s="22"/>
      <c r="C22" s="22"/>
      <c r="D22" s="22"/>
      <c r="E22" s="22"/>
      <c r="H22" s="22"/>
      <c r="I22" s="22"/>
      <c r="J22" s="22"/>
      <c r="K22" s="22"/>
      <c r="N22" s="22"/>
      <c r="O22" s="22"/>
      <c r="P22" s="22"/>
      <c r="Q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</row>
    <row r="23" spans="1:39" ht="15" customHeight="1" x14ac:dyDescent="0.25">
      <c r="A23" s="22"/>
      <c r="B23" s="22"/>
      <c r="C23" s="22"/>
      <c r="D23" s="22"/>
      <c r="E23" s="22"/>
      <c r="H23" s="22"/>
      <c r="I23" s="22"/>
      <c r="J23" s="22"/>
      <c r="K23" s="22"/>
      <c r="N23" s="22"/>
      <c r="O23" s="22"/>
      <c r="P23" s="22"/>
      <c r="Q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H23" s="22"/>
      <c r="AI23" s="22"/>
      <c r="AJ23" s="22"/>
      <c r="AK23" s="22"/>
    </row>
    <row r="24" spans="1:39" ht="15.75" customHeight="1" x14ac:dyDescent="0.25">
      <c r="A24" s="22"/>
      <c r="B24" s="22"/>
      <c r="C24" s="22"/>
      <c r="D24" s="22"/>
      <c r="E24" s="22"/>
      <c r="H24" s="22"/>
      <c r="I24" s="22"/>
      <c r="J24" s="22"/>
      <c r="K24" s="22"/>
      <c r="N24" s="22"/>
      <c r="O24" s="22"/>
      <c r="P24" s="22"/>
      <c r="Q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H24" s="22"/>
      <c r="AI24" s="22"/>
      <c r="AJ24" s="22"/>
      <c r="AK24" s="22"/>
    </row>
    <row r="25" spans="1:39" ht="15" customHeight="1" x14ac:dyDescent="0.25">
      <c r="A25" s="22"/>
      <c r="B25" s="22"/>
      <c r="C25" s="22"/>
      <c r="D25" s="22"/>
      <c r="E25" s="22"/>
      <c r="H25" s="22"/>
      <c r="I25" s="22"/>
      <c r="J25" s="22"/>
      <c r="K25" s="22"/>
      <c r="N25" s="22"/>
      <c r="O25" s="22"/>
      <c r="P25" s="22"/>
      <c r="Q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H25" s="22"/>
      <c r="AI25" s="22"/>
      <c r="AJ25" s="22"/>
      <c r="AK25" s="22"/>
    </row>
    <row r="26" spans="1:39" ht="15" customHeight="1" x14ac:dyDescent="0.25">
      <c r="A26" s="22"/>
      <c r="B26" s="22"/>
      <c r="C26" s="22"/>
      <c r="D26" s="22"/>
      <c r="E26" s="22"/>
      <c r="H26" s="22"/>
      <c r="I26" s="22"/>
      <c r="J26" s="22"/>
      <c r="K26" s="22"/>
      <c r="N26" s="22"/>
      <c r="O26" s="22"/>
      <c r="P26" s="22"/>
      <c r="Q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H26" s="22"/>
      <c r="AI26" s="22"/>
      <c r="AJ26" s="22"/>
      <c r="AK26" s="22"/>
    </row>
    <row r="27" spans="1:39" ht="15" customHeight="1" x14ac:dyDescent="0.25">
      <c r="A27" s="22"/>
      <c r="B27" s="22"/>
      <c r="C27" s="22"/>
      <c r="D27" s="22"/>
      <c r="E27" s="22"/>
      <c r="H27" s="22"/>
      <c r="I27" s="22"/>
      <c r="J27" s="22"/>
      <c r="K27" s="22"/>
      <c r="N27" s="22"/>
      <c r="O27" s="22"/>
      <c r="P27" s="22"/>
      <c r="Q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H27" s="22"/>
      <c r="AI27" s="22"/>
      <c r="AJ27" s="22"/>
      <c r="AK27" s="22"/>
    </row>
    <row r="28" spans="1:39" ht="15" customHeight="1" x14ac:dyDescent="0.25">
      <c r="A28" s="22"/>
      <c r="B28" s="22"/>
      <c r="C28" s="22"/>
      <c r="D28" s="22"/>
      <c r="E28" s="22"/>
      <c r="H28" s="22"/>
      <c r="I28" s="22"/>
      <c r="J28" s="22"/>
      <c r="K28" s="22"/>
      <c r="N28" s="22"/>
      <c r="O28" s="22"/>
      <c r="P28" s="22"/>
      <c r="Q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H28" s="22"/>
      <c r="AI28" s="22"/>
      <c r="AJ28" s="22"/>
      <c r="AK28" s="22"/>
    </row>
    <row r="29" spans="1:39" ht="15" customHeight="1" x14ac:dyDescent="0.25">
      <c r="A29" s="22"/>
      <c r="B29" s="22"/>
      <c r="C29" s="22"/>
      <c r="D29" s="22"/>
      <c r="E29" s="22"/>
      <c r="H29" s="22"/>
      <c r="I29" s="22"/>
      <c r="J29" s="22"/>
      <c r="K29" s="22"/>
      <c r="N29" s="22"/>
      <c r="O29" s="22"/>
      <c r="P29" s="22"/>
      <c r="Q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H29" s="22"/>
      <c r="AI29" s="22"/>
      <c r="AJ29" s="22"/>
      <c r="AK29" s="22"/>
    </row>
    <row r="30" spans="1:39" ht="15" customHeight="1" x14ac:dyDescent="0.25">
      <c r="A30" s="22"/>
      <c r="B30" s="22"/>
      <c r="C30" s="22"/>
      <c r="D30" s="22"/>
      <c r="E30" s="22"/>
      <c r="H30" s="22"/>
      <c r="I30" s="22"/>
      <c r="J30" s="22"/>
      <c r="K30" s="22"/>
      <c r="N30" s="22"/>
      <c r="O30" s="22"/>
      <c r="P30" s="22"/>
      <c r="Q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H30" s="22"/>
      <c r="AI30" s="22"/>
      <c r="AJ30" s="22"/>
      <c r="AK30" s="22"/>
    </row>
    <row r="31" spans="1:39" ht="15.75" customHeight="1" x14ac:dyDescent="0.25">
      <c r="A31" s="22"/>
      <c r="B31" s="22"/>
      <c r="C31" s="22"/>
      <c r="D31" s="22"/>
      <c r="E31" s="22"/>
      <c r="H31" s="22"/>
      <c r="I31" s="22"/>
      <c r="J31" s="22"/>
      <c r="K31" s="22"/>
      <c r="N31" s="22"/>
      <c r="O31" s="22"/>
      <c r="P31" s="22"/>
      <c r="Q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H31" s="22"/>
      <c r="AI31" s="22"/>
      <c r="AJ31" s="22"/>
      <c r="AK31" s="22"/>
    </row>
    <row r="32" spans="1:39" ht="15.75" customHeight="1" x14ac:dyDescent="0.25">
      <c r="A32" s="22"/>
      <c r="B32" s="22"/>
      <c r="C32" s="22"/>
      <c r="D32" s="22"/>
      <c r="E32" s="22"/>
      <c r="H32" s="22"/>
      <c r="I32" s="22"/>
      <c r="J32" s="22"/>
      <c r="K32" s="22"/>
      <c r="N32" s="22"/>
      <c r="O32" s="22"/>
      <c r="P32" s="22"/>
      <c r="Q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H32" s="22"/>
      <c r="AI32" s="22"/>
      <c r="AJ32" s="22"/>
      <c r="AK32" s="22"/>
    </row>
    <row r="33" spans="1:37" ht="15.75" customHeight="1" x14ac:dyDescent="0.25">
      <c r="A33" s="22"/>
      <c r="B33" s="22"/>
      <c r="C33" s="22"/>
      <c r="D33" s="22"/>
      <c r="E33" s="22"/>
      <c r="H33" s="22"/>
      <c r="I33" s="22"/>
      <c r="J33" s="22"/>
      <c r="K33" s="22"/>
      <c r="N33" s="22"/>
      <c r="O33" s="22"/>
      <c r="P33" s="22"/>
      <c r="Q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H33" s="22"/>
      <c r="AI33" s="22"/>
      <c r="AJ33" s="22"/>
      <c r="AK33" s="22"/>
    </row>
    <row r="34" spans="1:37" ht="15.75" customHeight="1" x14ac:dyDescent="0.25">
      <c r="A34" s="22"/>
      <c r="B34" s="22"/>
      <c r="C34" s="22"/>
      <c r="D34" s="22"/>
      <c r="E34" s="22"/>
      <c r="H34" s="22"/>
      <c r="I34" s="22"/>
      <c r="J34" s="22"/>
      <c r="K34" s="22"/>
      <c r="N34" s="22"/>
      <c r="O34" s="22"/>
      <c r="P34" s="22"/>
      <c r="Q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H34" s="22"/>
      <c r="AI34" s="22"/>
      <c r="AJ34" s="22"/>
      <c r="AK34" s="22"/>
    </row>
    <row r="35" spans="1:37" ht="15.75" customHeight="1" x14ac:dyDescent="0.25">
      <c r="A35" s="22"/>
      <c r="B35" s="22"/>
      <c r="C35" s="22"/>
      <c r="D35" s="22"/>
      <c r="E35" s="22"/>
      <c r="H35" s="22"/>
      <c r="I35" s="22"/>
      <c r="J35" s="22"/>
      <c r="K35" s="22"/>
      <c r="N35" s="22"/>
      <c r="O35" s="22"/>
      <c r="P35" s="22"/>
      <c r="Q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H35" s="22"/>
      <c r="AI35" s="22"/>
      <c r="AJ35" s="22"/>
      <c r="AK35" s="22"/>
    </row>
    <row r="36" spans="1:37" ht="15.75" customHeight="1" x14ac:dyDescent="0.25">
      <c r="A36" s="22"/>
      <c r="B36" s="22"/>
      <c r="C36" s="22"/>
      <c r="D36" s="22"/>
      <c r="E36" s="22"/>
      <c r="H36" s="22"/>
      <c r="I36" s="22"/>
      <c r="J36" s="22"/>
      <c r="K36" s="22"/>
      <c r="N36" s="22"/>
      <c r="O36" s="22"/>
      <c r="P36" s="22"/>
      <c r="Q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H36" s="22"/>
      <c r="AI36" s="22"/>
      <c r="AJ36" s="22"/>
      <c r="AK36" s="22"/>
    </row>
    <row r="37" spans="1:37" ht="15.75" customHeight="1" x14ac:dyDescent="0.25">
      <c r="A37" s="22"/>
      <c r="B37" s="22"/>
      <c r="C37" s="22"/>
      <c r="D37" s="22"/>
      <c r="E37" s="22"/>
      <c r="H37" s="22"/>
      <c r="I37" s="22"/>
      <c r="J37" s="22"/>
      <c r="K37" s="22"/>
      <c r="N37" s="22"/>
      <c r="O37" s="22"/>
      <c r="P37" s="22"/>
      <c r="Q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H37" s="22"/>
      <c r="AI37" s="22"/>
      <c r="AJ37" s="22"/>
      <c r="AK37" s="22"/>
    </row>
    <row r="38" spans="1:37" ht="15.75" customHeight="1" x14ac:dyDescent="0.25">
      <c r="A38" s="22"/>
      <c r="B38" s="22"/>
      <c r="C38" s="22"/>
      <c r="D38" s="22"/>
      <c r="E38" s="22"/>
      <c r="H38" s="22"/>
      <c r="I38" s="22"/>
      <c r="J38" s="22"/>
      <c r="K38" s="22"/>
      <c r="N38" s="22"/>
      <c r="O38" s="22"/>
      <c r="P38" s="22"/>
      <c r="Q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H38" s="22"/>
      <c r="AI38" s="22"/>
      <c r="AJ38" s="22"/>
      <c r="AK38" s="22"/>
    </row>
    <row r="39" spans="1:37" ht="15.75" customHeight="1" x14ac:dyDescent="0.25">
      <c r="A39" s="22"/>
      <c r="B39" s="22"/>
      <c r="C39" s="22"/>
      <c r="D39" s="22"/>
      <c r="E39" s="22"/>
      <c r="H39" s="22"/>
      <c r="I39" s="22"/>
      <c r="J39" s="22"/>
      <c r="K39" s="22"/>
      <c r="N39" s="22"/>
      <c r="O39" s="22"/>
      <c r="P39" s="22"/>
      <c r="Q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H39" s="22"/>
      <c r="AI39" s="22"/>
      <c r="AJ39" s="22"/>
      <c r="AK39" s="22"/>
    </row>
    <row r="40" spans="1:37" ht="15.75" customHeight="1" x14ac:dyDescent="0.25">
      <c r="A40" s="22"/>
      <c r="B40" s="22"/>
      <c r="C40" s="22"/>
      <c r="D40" s="22"/>
      <c r="E40" s="22"/>
      <c r="H40" s="22"/>
      <c r="I40" s="22"/>
      <c r="J40" s="22"/>
      <c r="K40" s="22"/>
      <c r="N40" s="22"/>
      <c r="O40" s="22"/>
      <c r="P40" s="22"/>
      <c r="Q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H40" s="22"/>
      <c r="AI40" s="22"/>
      <c r="AJ40" s="22"/>
      <c r="AK40" s="22"/>
    </row>
    <row r="41" spans="1:37" ht="15.75" customHeight="1" x14ac:dyDescent="0.25">
      <c r="A41" s="22"/>
      <c r="B41" s="22"/>
      <c r="C41" s="22"/>
      <c r="D41" s="22"/>
      <c r="E41" s="22"/>
      <c r="H41" s="22"/>
      <c r="I41" s="22"/>
      <c r="J41" s="22"/>
      <c r="K41" s="22"/>
      <c r="N41" s="22"/>
      <c r="O41" s="22"/>
      <c r="P41" s="22"/>
      <c r="Q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H41" s="22"/>
      <c r="AI41" s="22"/>
      <c r="AJ41" s="22"/>
      <c r="AK41" s="22"/>
    </row>
    <row r="42" spans="1:37" ht="15.75" customHeight="1" x14ac:dyDescent="0.25">
      <c r="A42" s="22"/>
      <c r="B42" s="22"/>
      <c r="C42" s="22"/>
      <c r="D42" s="22"/>
      <c r="E42" s="22"/>
      <c r="H42" s="22"/>
      <c r="I42" s="22"/>
      <c r="J42" s="22"/>
      <c r="K42" s="22"/>
      <c r="N42" s="22"/>
      <c r="O42" s="22"/>
      <c r="P42" s="22"/>
      <c r="Q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H42" s="22"/>
      <c r="AI42" s="22"/>
      <c r="AJ42" s="22"/>
      <c r="AK42" s="22"/>
    </row>
    <row r="43" spans="1:37" ht="15.75" customHeight="1" x14ac:dyDescent="0.25">
      <c r="A43" s="22"/>
      <c r="B43" s="22"/>
      <c r="C43" s="22"/>
      <c r="D43" s="22"/>
      <c r="E43" s="22"/>
      <c r="H43" s="22"/>
      <c r="I43" s="22"/>
      <c r="J43" s="22"/>
      <c r="K43" s="22"/>
      <c r="N43" s="22"/>
      <c r="O43" s="22"/>
      <c r="P43" s="22"/>
      <c r="Q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H43" s="22"/>
      <c r="AI43" s="22"/>
      <c r="AJ43" s="22"/>
      <c r="AK43" s="22"/>
    </row>
    <row r="44" spans="1:37" ht="15.75" customHeight="1" x14ac:dyDescent="0.25">
      <c r="A44" s="22"/>
      <c r="B44" s="22"/>
      <c r="C44" s="22"/>
      <c r="D44" s="22"/>
      <c r="E44" s="22"/>
      <c r="H44" s="22"/>
      <c r="I44" s="22"/>
      <c r="J44" s="22"/>
      <c r="K44" s="22"/>
      <c r="N44" s="22"/>
      <c r="O44" s="22"/>
      <c r="P44" s="22"/>
      <c r="Q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H44" s="22"/>
      <c r="AI44" s="22"/>
      <c r="AJ44" s="22"/>
      <c r="AK44" s="22"/>
    </row>
    <row r="45" spans="1:37" ht="15.75" customHeight="1" x14ac:dyDescent="0.25">
      <c r="A45" s="22"/>
      <c r="B45" s="22"/>
      <c r="C45" s="22"/>
      <c r="D45" s="22"/>
      <c r="E45" s="22"/>
      <c r="H45" s="22"/>
      <c r="I45" s="22"/>
      <c r="J45" s="22"/>
      <c r="K45" s="22"/>
      <c r="N45" s="22"/>
      <c r="O45" s="22"/>
      <c r="P45" s="22"/>
      <c r="Q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H45" s="22"/>
      <c r="AI45" s="22"/>
      <c r="AJ45" s="22"/>
      <c r="AK45" s="22"/>
    </row>
    <row r="46" spans="1:37" ht="15.75" customHeight="1" x14ac:dyDescent="0.25">
      <c r="A46" s="22"/>
      <c r="B46" s="22"/>
      <c r="C46" s="22"/>
      <c r="D46" s="22"/>
      <c r="E46" s="22"/>
      <c r="H46" s="22"/>
      <c r="I46" s="22"/>
      <c r="J46" s="22"/>
      <c r="K46" s="22"/>
      <c r="N46" s="22"/>
      <c r="O46" s="22"/>
      <c r="P46" s="22"/>
      <c r="Q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H46" s="22"/>
      <c r="AI46" s="22"/>
      <c r="AJ46" s="22"/>
      <c r="AK46" s="22"/>
    </row>
    <row r="47" spans="1:37" ht="15.75" customHeight="1" x14ac:dyDescent="0.25">
      <c r="A47" s="22"/>
      <c r="B47" s="22"/>
      <c r="C47" s="22"/>
      <c r="D47" s="22"/>
      <c r="E47" s="22"/>
      <c r="H47" s="22"/>
      <c r="I47" s="22"/>
      <c r="J47" s="22"/>
      <c r="K47" s="22"/>
      <c r="N47" s="22"/>
      <c r="O47" s="22"/>
      <c r="P47" s="22"/>
      <c r="Q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H47" s="22"/>
      <c r="AI47" s="22"/>
      <c r="AJ47" s="22"/>
      <c r="AK47" s="22"/>
    </row>
    <row r="48" spans="1:37" ht="15.75" customHeight="1" x14ac:dyDescent="0.25">
      <c r="A48" s="22"/>
      <c r="B48" s="22"/>
      <c r="C48" s="22"/>
      <c r="D48" s="22"/>
      <c r="E48" s="22"/>
      <c r="H48" s="22"/>
      <c r="I48" s="22"/>
      <c r="J48" s="22"/>
      <c r="K48" s="22"/>
      <c r="N48" s="22"/>
      <c r="O48" s="22"/>
      <c r="P48" s="22"/>
      <c r="Q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H48" s="22"/>
      <c r="AI48" s="22"/>
      <c r="AJ48" s="22"/>
      <c r="AK48" s="22"/>
    </row>
    <row r="49" spans="1:37" ht="15.75" customHeight="1" x14ac:dyDescent="0.25">
      <c r="A49" s="22"/>
      <c r="B49" s="22"/>
      <c r="C49" s="22"/>
      <c r="D49" s="22"/>
      <c r="E49" s="22"/>
      <c r="H49" s="22"/>
      <c r="I49" s="22"/>
      <c r="J49" s="22"/>
      <c r="K49" s="22"/>
      <c r="N49" s="22"/>
      <c r="O49" s="22"/>
      <c r="P49" s="22"/>
      <c r="Q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H49" s="22"/>
      <c r="AI49" s="22"/>
      <c r="AJ49" s="22"/>
      <c r="AK49" s="22"/>
    </row>
    <row r="50" spans="1:37" ht="15.75" customHeight="1" x14ac:dyDescent="0.25">
      <c r="A50" s="22"/>
      <c r="B50" s="22"/>
      <c r="C50" s="22"/>
      <c r="D50" s="22"/>
      <c r="E50" s="22"/>
      <c r="H50" s="22"/>
      <c r="I50" s="22"/>
      <c r="J50" s="22"/>
      <c r="K50" s="22"/>
      <c r="N50" s="22"/>
      <c r="O50" s="22"/>
      <c r="P50" s="22"/>
      <c r="Q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H50" s="22"/>
      <c r="AI50" s="22"/>
      <c r="AJ50" s="22"/>
      <c r="AK50" s="22"/>
    </row>
    <row r="51" spans="1:37" ht="15.75" customHeight="1" x14ac:dyDescent="0.25">
      <c r="A51" s="22"/>
      <c r="B51" s="22"/>
      <c r="C51" s="22"/>
      <c r="D51" s="22"/>
      <c r="E51" s="22"/>
      <c r="H51" s="22"/>
      <c r="I51" s="22"/>
      <c r="J51" s="22"/>
      <c r="K51" s="22"/>
      <c r="N51" s="22"/>
      <c r="O51" s="22"/>
      <c r="P51" s="22"/>
      <c r="Q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</row>
    <row r="52" spans="1:37" ht="15.75" customHeight="1" x14ac:dyDescent="0.25">
      <c r="A52" s="22"/>
      <c r="B52" s="22"/>
      <c r="C52" s="22"/>
      <c r="D52" s="22"/>
      <c r="E52" s="22"/>
      <c r="H52" s="22"/>
      <c r="I52" s="22"/>
      <c r="J52" s="22"/>
      <c r="K52" s="22"/>
      <c r="N52" s="22"/>
      <c r="O52" s="22"/>
      <c r="P52" s="22"/>
      <c r="Q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</row>
    <row r="53" spans="1:37" ht="15.75" customHeight="1" x14ac:dyDescent="0.25">
      <c r="A53" s="22"/>
      <c r="B53" s="22"/>
      <c r="C53" s="22"/>
      <c r="D53" s="22"/>
      <c r="E53" s="22"/>
      <c r="H53" s="22"/>
      <c r="I53" s="22"/>
      <c r="J53" s="22"/>
      <c r="K53" s="22"/>
      <c r="N53" s="22"/>
      <c r="O53" s="22"/>
      <c r="P53" s="22"/>
      <c r="Q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H53" s="22"/>
      <c r="AI53" s="22"/>
      <c r="AJ53" s="22"/>
      <c r="AK53" s="22"/>
    </row>
    <row r="54" spans="1:37" ht="15.75" customHeight="1" x14ac:dyDescent="0.25">
      <c r="A54" s="22"/>
      <c r="B54" s="22"/>
      <c r="C54" s="22"/>
      <c r="D54" s="22"/>
      <c r="E54" s="22"/>
      <c r="H54" s="22"/>
      <c r="I54" s="22"/>
      <c r="J54" s="22"/>
      <c r="K54" s="22"/>
      <c r="N54" s="22"/>
      <c r="O54" s="22"/>
      <c r="P54" s="22"/>
      <c r="Q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H54" s="22"/>
      <c r="AI54" s="22"/>
      <c r="AJ54" s="22"/>
      <c r="AK54" s="22"/>
    </row>
    <row r="55" spans="1:37" ht="15.75" customHeight="1" x14ac:dyDescent="0.25">
      <c r="A55" s="22"/>
      <c r="B55" s="22"/>
      <c r="C55" s="22"/>
      <c r="D55" s="22"/>
      <c r="E55" s="22"/>
      <c r="H55" s="22"/>
      <c r="I55" s="22"/>
      <c r="J55" s="22"/>
      <c r="K55" s="22"/>
      <c r="N55" s="22"/>
      <c r="O55" s="22"/>
      <c r="P55" s="22"/>
      <c r="Q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H55" s="22"/>
      <c r="AI55" s="22"/>
      <c r="AJ55" s="22"/>
      <c r="AK55" s="22"/>
    </row>
    <row r="56" spans="1:37" ht="15.75" customHeight="1" x14ac:dyDescent="0.25">
      <c r="A56" s="22"/>
      <c r="B56" s="22"/>
      <c r="C56" s="22"/>
      <c r="D56" s="22"/>
      <c r="E56" s="22"/>
      <c r="H56" s="22"/>
      <c r="I56" s="22"/>
      <c r="J56" s="22"/>
      <c r="K56" s="22"/>
      <c r="N56" s="22"/>
      <c r="O56" s="22"/>
      <c r="P56" s="22"/>
      <c r="Q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H56" s="22"/>
      <c r="AI56" s="22"/>
      <c r="AJ56" s="22"/>
      <c r="AK56" s="22"/>
    </row>
    <row r="57" spans="1:37" ht="15.75" customHeight="1" x14ac:dyDescent="0.25">
      <c r="A57" s="22"/>
      <c r="B57" s="22"/>
      <c r="C57" s="22"/>
      <c r="D57" s="22"/>
      <c r="E57" s="22"/>
      <c r="H57" s="22"/>
      <c r="I57" s="22"/>
      <c r="J57" s="22"/>
      <c r="K57" s="22"/>
      <c r="N57" s="22"/>
      <c r="O57" s="22"/>
      <c r="P57" s="22"/>
      <c r="Q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H57" s="22"/>
      <c r="AI57" s="22"/>
      <c r="AJ57" s="22"/>
      <c r="AK57" s="22"/>
    </row>
    <row r="58" spans="1:37" ht="15.75" customHeight="1" x14ac:dyDescent="0.25">
      <c r="A58" s="22"/>
      <c r="B58" s="22"/>
      <c r="C58" s="22"/>
      <c r="D58" s="22"/>
      <c r="E58" s="22"/>
      <c r="H58" s="22"/>
      <c r="I58" s="22"/>
      <c r="J58" s="22"/>
      <c r="K58" s="22"/>
      <c r="N58" s="22"/>
      <c r="O58" s="22"/>
      <c r="P58" s="22"/>
      <c r="Q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H58" s="22"/>
      <c r="AI58" s="22"/>
      <c r="AJ58" s="22"/>
      <c r="AK58" s="22"/>
    </row>
    <row r="59" spans="1:37" ht="15.75" customHeight="1" x14ac:dyDescent="0.25">
      <c r="A59" s="22"/>
      <c r="B59" s="22"/>
      <c r="C59" s="22"/>
      <c r="D59" s="22"/>
      <c r="E59" s="22"/>
      <c r="H59" s="22"/>
      <c r="I59" s="22"/>
      <c r="J59" s="22"/>
      <c r="K59" s="22"/>
      <c r="N59" s="22"/>
      <c r="O59" s="22"/>
      <c r="P59" s="22"/>
      <c r="Q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H59" s="22"/>
      <c r="AI59" s="22"/>
      <c r="AJ59" s="22"/>
      <c r="AK59" s="22"/>
    </row>
    <row r="60" spans="1:37" ht="15.75" customHeight="1" x14ac:dyDescent="0.25">
      <c r="A60" s="22"/>
      <c r="B60" s="22"/>
      <c r="C60" s="22"/>
      <c r="D60" s="22"/>
      <c r="E60" s="22"/>
      <c r="H60" s="22"/>
      <c r="I60" s="22"/>
      <c r="J60" s="22"/>
      <c r="K60" s="22"/>
      <c r="N60" s="22"/>
      <c r="O60" s="22"/>
      <c r="P60" s="22"/>
      <c r="Q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H60" s="22"/>
      <c r="AI60" s="22"/>
      <c r="AJ60" s="22"/>
      <c r="AK60" s="22"/>
    </row>
    <row r="61" spans="1:37" ht="15.75" customHeight="1" x14ac:dyDescent="0.25">
      <c r="A61" s="22"/>
      <c r="B61" s="22"/>
      <c r="C61" s="22"/>
      <c r="D61" s="22"/>
      <c r="E61" s="22"/>
      <c r="H61" s="22"/>
      <c r="I61" s="22"/>
      <c r="J61" s="22"/>
      <c r="K61" s="22"/>
      <c r="N61" s="22"/>
      <c r="O61" s="22"/>
      <c r="P61" s="22"/>
      <c r="Q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H61" s="22"/>
      <c r="AI61" s="22"/>
      <c r="AJ61" s="22"/>
      <c r="AK61" s="22"/>
    </row>
    <row r="62" spans="1:37" ht="15.75" customHeight="1" x14ac:dyDescent="0.25">
      <c r="A62" s="22"/>
      <c r="B62" s="22"/>
      <c r="C62" s="22"/>
      <c r="D62" s="22"/>
      <c r="E62" s="22"/>
      <c r="H62" s="22"/>
      <c r="I62" s="22"/>
      <c r="J62" s="22"/>
      <c r="K62" s="22"/>
      <c r="N62" s="22"/>
      <c r="O62" s="22"/>
      <c r="P62" s="22"/>
      <c r="Q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H62" s="22"/>
      <c r="AI62" s="22"/>
      <c r="AJ62" s="22"/>
      <c r="AK62" s="22"/>
    </row>
    <row r="63" spans="1:37" ht="15.75" customHeight="1" x14ac:dyDescent="0.25">
      <c r="A63" s="22"/>
      <c r="B63" s="22"/>
      <c r="C63" s="22"/>
      <c r="D63" s="22"/>
      <c r="E63" s="22"/>
      <c r="H63" s="22"/>
      <c r="I63" s="22"/>
      <c r="J63" s="22"/>
      <c r="K63" s="22"/>
      <c r="N63" s="22"/>
      <c r="O63" s="22"/>
      <c r="P63" s="22"/>
      <c r="Q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H63" s="22"/>
      <c r="AI63" s="22"/>
      <c r="AJ63" s="22"/>
      <c r="AK63" s="22"/>
    </row>
    <row r="64" spans="1:37" ht="15.75" customHeight="1" x14ac:dyDescent="0.25">
      <c r="A64" s="22"/>
      <c r="B64" s="22"/>
      <c r="C64" s="22"/>
      <c r="D64" s="22"/>
      <c r="E64" s="22"/>
      <c r="H64" s="22"/>
      <c r="I64" s="22"/>
      <c r="J64" s="22"/>
      <c r="K64" s="22"/>
      <c r="N64" s="22"/>
      <c r="O64" s="22"/>
      <c r="P64" s="22"/>
      <c r="Q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H64" s="22"/>
      <c r="AI64" s="22"/>
      <c r="AJ64" s="22"/>
      <c r="AK64" s="22"/>
    </row>
    <row r="65" spans="1:37" ht="15.75" customHeight="1" x14ac:dyDescent="0.25">
      <c r="A65" s="22"/>
      <c r="B65" s="22"/>
      <c r="C65" s="22"/>
      <c r="D65" s="22"/>
      <c r="E65" s="22"/>
      <c r="H65" s="22"/>
      <c r="I65" s="22"/>
      <c r="J65" s="22"/>
      <c r="K65" s="22"/>
      <c r="N65" s="22"/>
      <c r="O65" s="22"/>
      <c r="P65" s="22"/>
      <c r="Q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H65" s="22"/>
      <c r="AI65" s="22"/>
      <c r="AJ65" s="22"/>
      <c r="AK65" s="22"/>
    </row>
    <row r="66" spans="1:37" ht="15.75" customHeight="1" x14ac:dyDescent="0.25">
      <c r="A66" s="22"/>
      <c r="B66" s="22"/>
      <c r="C66" s="22"/>
      <c r="D66" s="22"/>
      <c r="E66" s="22"/>
      <c r="H66" s="22"/>
      <c r="I66" s="22"/>
      <c r="J66" s="22"/>
      <c r="K66" s="22"/>
      <c r="N66" s="22"/>
      <c r="O66" s="22"/>
      <c r="P66" s="22"/>
      <c r="Q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H66" s="22"/>
      <c r="AI66" s="22"/>
      <c r="AJ66" s="22"/>
      <c r="AK66" s="22"/>
    </row>
    <row r="67" spans="1:37" ht="15.75" customHeight="1" x14ac:dyDescent="0.25">
      <c r="A67" s="22"/>
      <c r="B67" s="22"/>
      <c r="C67" s="22"/>
      <c r="D67" s="22"/>
      <c r="E67" s="22"/>
      <c r="H67" s="22"/>
      <c r="I67" s="22"/>
      <c r="J67" s="22"/>
      <c r="K67" s="22"/>
      <c r="N67" s="22"/>
      <c r="O67" s="22"/>
      <c r="P67" s="22"/>
      <c r="Q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H67" s="22"/>
      <c r="AI67" s="22"/>
      <c r="AJ67" s="22"/>
      <c r="AK67" s="22"/>
    </row>
    <row r="68" spans="1:37" ht="15.75" customHeight="1" x14ac:dyDescent="0.25">
      <c r="A68" s="22"/>
      <c r="B68" s="22"/>
      <c r="C68" s="22"/>
      <c r="D68" s="22"/>
      <c r="E68" s="22"/>
      <c r="H68" s="22"/>
      <c r="I68" s="22"/>
      <c r="J68" s="22"/>
      <c r="K68" s="22"/>
      <c r="N68" s="22"/>
      <c r="O68" s="22"/>
      <c r="P68" s="22"/>
      <c r="Q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H68" s="22"/>
      <c r="AI68" s="22"/>
      <c r="AJ68" s="22"/>
      <c r="AK68" s="22"/>
    </row>
    <row r="69" spans="1:37" ht="15.75" customHeight="1" x14ac:dyDescent="0.25">
      <c r="A69" s="22"/>
      <c r="B69" s="22"/>
      <c r="C69" s="22"/>
      <c r="D69" s="22"/>
      <c r="E69" s="22"/>
      <c r="H69" s="22"/>
      <c r="I69" s="22"/>
      <c r="J69" s="22"/>
      <c r="K69" s="22"/>
      <c r="N69" s="22"/>
      <c r="O69" s="22"/>
      <c r="P69" s="22"/>
      <c r="Q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H69" s="22"/>
      <c r="AI69" s="22"/>
      <c r="AJ69" s="22"/>
      <c r="AK69" s="22"/>
    </row>
    <row r="70" spans="1:37" ht="15.75" customHeight="1" x14ac:dyDescent="0.25">
      <c r="A70" s="22"/>
      <c r="B70" s="22"/>
      <c r="C70" s="22"/>
      <c r="D70" s="22"/>
      <c r="E70" s="22"/>
      <c r="H70" s="22"/>
      <c r="I70" s="22"/>
      <c r="J70" s="22"/>
      <c r="K70" s="22"/>
      <c r="N70" s="22"/>
      <c r="O70" s="22"/>
      <c r="P70" s="22"/>
      <c r="Q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H70" s="22"/>
      <c r="AI70" s="22"/>
      <c r="AJ70" s="22"/>
      <c r="AK70" s="22"/>
    </row>
    <row r="71" spans="1:37" ht="15.75" customHeight="1" x14ac:dyDescent="0.25">
      <c r="A71" s="22"/>
      <c r="B71" s="22"/>
      <c r="C71" s="22"/>
      <c r="D71" s="22"/>
      <c r="E71" s="22"/>
      <c r="H71" s="22"/>
      <c r="I71" s="22"/>
      <c r="J71" s="22"/>
      <c r="K71" s="22"/>
      <c r="N71" s="22"/>
      <c r="O71" s="22"/>
      <c r="P71" s="22"/>
      <c r="Q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H71" s="22"/>
      <c r="AI71" s="22"/>
      <c r="AJ71" s="22"/>
      <c r="AK71" s="22"/>
    </row>
    <row r="72" spans="1:37" ht="15.75" customHeight="1" x14ac:dyDescent="0.25">
      <c r="A72" s="22"/>
      <c r="B72" s="22"/>
      <c r="C72" s="22"/>
      <c r="D72" s="22"/>
      <c r="E72" s="22"/>
      <c r="H72" s="22"/>
      <c r="I72" s="22"/>
      <c r="J72" s="22"/>
      <c r="K72" s="22"/>
      <c r="N72" s="22"/>
      <c r="O72" s="22"/>
      <c r="P72" s="22"/>
      <c r="Q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H72" s="22"/>
      <c r="AI72" s="22"/>
      <c r="AJ72" s="22"/>
      <c r="AK72" s="22"/>
    </row>
    <row r="73" spans="1:37" ht="15.75" customHeight="1" x14ac:dyDescent="0.25">
      <c r="A73" s="22"/>
      <c r="B73" s="22"/>
      <c r="C73" s="22"/>
      <c r="D73" s="22"/>
      <c r="E73" s="22"/>
      <c r="H73" s="22"/>
      <c r="I73" s="22"/>
      <c r="J73" s="22"/>
      <c r="K73" s="22"/>
      <c r="N73" s="22"/>
      <c r="O73" s="22"/>
      <c r="P73" s="22"/>
      <c r="Q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H73" s="22"/>
      <c r="AI73" s="22"/>
      <c r="AJ73" s="22"/>
      <c r="AK73" s="22"/>
    </row>
    <row r="74" spans="1:37" ht="15.75" customHeight="1" x14ac:dyDescent="0.25">
      <c r="A74" s="22"/>
      <c r="B74" s="22"/>
      <c r="C74" s="22"/>
      <c r="D74" s="22"/>
      <c r="E74" s="22"/>
      <c r="H74" s="22"/>
      <c r="I74" s="22"/>
      <c r="J74" s="22"/>
      <c r="K74" s="22"/>
      <c r="N74" s="22"/>
      <c r="O74" s="22"/>
      <c r="P74" s="22"/>
      <c r="Q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H74" s="22"/>
      <c r="AI74" s="22"/>
      <c r="AJ74" s="22"/>
      <c r="AK74" s="22"/>
    </row>
    <row r="75" spans="1:37" ht="15.75" customHeight="1" x14ac:dyDescent="0.25">
      <c r="A75" s="22"/>
      <c r="B75" s="22"/>
      <c r="C75" s="22"/>
      <c r="D75" s="22"/>
      <c r="E75" s="22"/>
      <c r="H75" s="22"/>
      <c r="I75" s="22"/>
      <c r="J75" s="22"/>
      <c r="K75" s="22"/>
      <c r="N75" s="22"/>
      <c r="O75" s="22"/>
      <c r="P75" s="22"/>
      <c r="Q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H75" s="22"/>
      <c r="AI75" s="22"/>
      <c r="AJ75" s="22"/>
      <c r="AK75" s="22"/>
    </row>
    <row r="76" spans="1:37" ht="15.75" customHeight="1" x14ac:dyDescent="0.25">
      <c r="A76" s="22"/>
      <c r="B76" s="22"/>
      <c r="C76" s="22"/>
      <c r="D76" s="22"/>
      <c r="E76" s="22"/>
      <c r="H76" s="22"/>
      <c r="I76" s="22"/>
      <c r="J76" s="22"/>
      <c r="K76" s="22"/>
      <c r="N76" s="22"/>
      <c r="O76" s="22"/>
      <c r="P76" s="22"/>
      <c r="Q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H76" s="22"/>
      <c r="AI76" s="22"/>
      <c r="AJ76" s="22"/>
      <c r="AK76" s="22"/>
    </row>
    <row r="77" spans="1:37" ht="15.75" customHeight="1" x14ac:dyDescent="0.25">
      <c r="A77" s="22"/>
      <c r="B77" s="22"/>
      <c r="C77" s="22"/>
      <c r="D77" s="22"/>
      <c r="E77" s="22"/>
      <c r="H77" s="22"/>
      <c r="I77" s="22"/>
      <c r="J77" s="22"/>
      <c r="K77" s="22"/>
      <c r="N77" s="22"/>
      <c r="O77" s="22"/>
      <c r="P77" s="22"/>
      <c r="Q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H77" s="22"/>
      <c r="AI77" s="22"/>
      <c r="AJ77" s="22"/>
      <c r="AK77" s="22"/>
    </row>
    <row r="78" spans="1:37" ht="15.75" customHeight="1" x14ac:dyDescent="0.25">
      <c r="A78" s="22"/>
      <c r="B78" s="22"/>
      <c r="C78" s="22"/>
      <c r="D78" s="22"/>
      <c r="E78" s="22"/>
      <c r="H78" s="22"/>
      <c r="I78" s="22"/>
      <c r="J78" s="22"/>
      <c r="K78" s="22"/>
      <c r="N78" s="22"/>
      <c r="O78" s="22"/>
      <c r="P78" s="22"/>
      <c r="Q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H78" s="22"/>
      <c r="AI78" s="22"/>
      <c r="AJ78" s="22"/>
      <c r="AK78" s="22"/>
    </row>
    <row r="79" spans="1:37" ht="15.75" customHeight="1" x14ac:dyDescent="0.25">
      <c r="A79" s="22"/>
      <c r="B79" s="22"/>
      <c r="C79" s="22"/>
      <c r="D79" s="22"/>
      <c r="E79" s="22"/>
      <c r="H79" s="22"/>
      <c r="I79" s="22"/>
      <c r="J79" s="22"/>
      <c r="K79" s="22"/>
      <c r="N79" s="22"/>
      <c r="O79" s="22"/>
      <c r="P79" s="22"/>
      <c r="Q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H79" s="22"/>
      <c r="AI79" s="22"/>
      <c r="AJ79" s="22"/>
      <c r="AK79" s="22"/>
    </row>
    <row r="80" spans="1:37" ht="15.75" customHeight="1" x14ac:dyDescent="0.25">
      <c r="A80" s="22"/>
      <c r="B80" s="22"/>
      <c r="C80" s="22"/>
      <c r="D80" s="22"/>
      <c r="E80" s="22"/>
      <c r="H80" s="22"/>
      <c r="I80" s="22"/>
      <c r="J80" s="22"/>
      <c r="K80" s="22"/>
      <c r="N80" s="22"/>
      <c r="O80" s="22"/>
      <c r="P80" s="22"/>
      <c r="Q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H80" s="22"/>
      <c r="AI80" s="22"/>
      <c r="AJ80" s="22"/>
      <c r="AK80" s="22"/>
    </row>
    <row r="81" spans="1:37" ht="15.75" customHeight="1" x14ac:dyDescent="0.25">
      <c r="A81" s="22"/>
      <c r="B81" s="22"/>
      <c r="C81" s="22"/>
      <c r="D81" s="22"/>
      <c r="E81" s="22"/>
      <c r="H81" s="22"/>
      <c r="I81" s="22"/>
      <c r="J81" s="22"/>
      <c r="K81" s="22"/>
      <c r="N81" s="22"/>
      <c r="O81" s="22"/>
      <c r="P81" s="22"/>
      <c r="Q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H81" s="22"/>
      <c r="AI81" s="22"/>
      <c r="AJ81" s="22"/>
      <c r="AK81" s="22"/>
    </row>
    <row r="82" spans="1:37" ht="15.75" customHeight="1" x14ac:dyDescent="0.25">
      <c r="A82" s="22"/>
      <c r="B82" s="22"/>
      <c r="C82" s="22"/>
      <c r="D82" s="22"/>
      <c r="E82" s="22"/>
      <c r="H82" s="22"/>
      <c r="I82" s="22"/>
      <c r="J82" s="22"/>
      <c r="K82" s="22"/>
      <c r="N82" s="22"/>
      <c r="O82" s="22"/>
      <c r="P82" s="22"/>
      <c r="Q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H82" s="22"/>
      <c r="AI82" s="22"/>
      <c r="AJ82" s="22"/>
      <c r="AK82" s="22"/>
    </row>
    <row r="83" spans="1:37" ht="15.75" customHeight="1" x14ac:dyDescent="0.25">
      <c r="A83" s="22"/>
      <c r="B83" s="22"/>
      <c r="C83" s="22"/>
      <c r="D83" s="22"/>
      <c r="E83" s="22"/>
      <c r="H83" s="22"/>
      <c r="I83" s="22"/>
      <c r="J83" s="22"/>
      <c r="K83" s="22"/>
      <c r="N83" s="22"/>
      <c r="O83" s="22"/>
      <c r="P83" s="22"/>
      <c r="Q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H83" s="22"/>
      <c r="AI83" s="22"/>
      <c r="AJ83" s="22"/>
      <c r="AK83" s="22"/>
    </row>
    <row r="84" spans="1:37" ht="15.75" customHeight="1" x14ac:dyDescent="0.25">
      <c r="A84" s="22"/>
      <c r="B84" s="22"/>
      <c r="C84" s="22"/>
      <c r="D84" s="22"/>
      <c r="E84" s="22"/>
      <c r="H84" s="22"/>
      <c r="I84" s="22"/>
      <c r="J84" s="22"/>
      <c r="K84" s="22"/>
      <c r="N84" s="22"/>
      <c r="O84" s="22"/>
      <c r="P84" s="22"/>
      <c r="Q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H84" s="22"/>
      <c r="AI84" s="22"/>
      <c r="AJ84" s="22"/>
      <c r="AK84" s="22"/>
    </row>
    <row r="85" spans="1:37" ht="15.75" customHeight="1" x14ac:dyDescent="0.25">
      <c r="A85" s="22"/>
      <c r="B85" s="22"/>
      <c r="C85" s="22"/>
      <c r="D85" s="22"/>
      <c r="E85" s="22"/>
      <c r="H85" s="22"/>
      <c r="I85" s="22"/>
      <c r="J85" s="22"/>
      <c r="K85" s="22"/>
      <c r="N85" s="22"/>
      <c r="O85" s="22"/>
      <c r="P85" s="22"/>
      <c r="Q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H85" s="22"/>
      <c r="AI85" s="22"/>
      <c r="AJ85" s="22"/>
      <c r="AK85" s="22"/>
    </row>
    <row r="86" spans="1:37" ht="15.75" customHeight="1" x14ac:dyDescent="0.25">
      <c r="A86" s="22"/>
      <c r="B86" s="22"/>
      <c r="C86" s="22"/>
      <c r="D86" s="22"/>
      <c r="E86" s="22"/>
      <c r="H86" s="22"/>
      <c r="I86" s="22"/>
      <c r="J86" s="22"/>
      <c r="K86" s="22"/>
      <c r="N86" s="22"/>
      <c r="O86" s="22"/>
      <c r="P86" s="22"/>
      <c r="Q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H86" s="22"/>
      <c r="AI86" s="22"/>
      <c r="AJ86" s="22"/>
      <c r="AK86" s="22"/>
    </row>
    <row r="87" spans="1:37" ht="15.75" customHeight="1" x14ac:dyDescent="0.25">
      <c r="A87" s="22"/>
      <c r="B87" s="22"/>
      <c r="C87" s="22"/>
      <c r="D87" s="22"/>
      <c r="E87" s="22"/>
      <c r="H87" s="22"/>
      <c r="I87" s="22"/>
      <c r="J87" s="22"/>
      <c r="K87" s="22"/>
      <c r="N87" s="22"/>
      <c r="O87" s="22"/>
      <c r="P87" s="22"/>
      <c r="Q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H87" s="22"/>
      <c r="AI87" s="22"/>
      <c r="AJ87" s="22"/>
      <c r="AK87" s="22"/>
    </row>
    <row r="88" spans="1:37" ht="15.75" customHeight="1" x14ac:dyDescent="0.25">
      <c r="A88" s="22"/>
      <c r="B88" s="22"/>
      <c r="C88" s="22"/>
      <c r="D88" s="22"/>
      <c r="E88" s="22"/>
      <c r="H88" s="22"/>
      <c r="I88" s="22"/>
      <c r="J88" s="22"/>
      <c r="K88" s="22"/>
      <c r="N88" s="22"/>
      <c r="O88" s="22"/>
      <c r="P88" s="22"/>
      <c r="Q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H88" s="22"/>
      <c r="AI88" s="22"/>
      <c r="AJ88" s="22"/>
      <c r="AK88" s="22"/>
    </row>
    <row r="89" spans="1:37" ht="15.75" customHeight="1" x14ac:dyDescent="0.25">
      <c r="A89" s="22"/>
      <c r="B89" s="22"/>
      <c r="C89" s="22"/>
      <c r="D89" s="22"/>
      <c r="E89" s="22"/>
      <c r="H89" s="22"/>
      <c r="I89" s="22"/>
      <c r="J89" s="22"/>
      <c r="K89" s="22"/>
      <c r="N89" s="22"/>
      <c r="O89" s="22"/>
      <c r="P89" s="22"/>
      <c r="Q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H89" s="22"/>
      <c r="AI89" s="22"/>
      <c r="AJ89" s="22"/>
      <c r="AK89" s="22"/>
    </row>
    <row r="90" spans="1:37" ht="15.75" customHeight="1" x14ac:dyDescent="0.25">
      <c r="A90" s="22"/>
      <c r="B90" s="22"/>
      <c r="C90" s="22"/>
      <c r="D90" s="22"/>
      <c r="E90" s="22"/>
      <c r="H90" s="22"/>
      <c r="I90" s="22"/>
      <c r="J90" s="22"/>
      <c r="K90" s="22"/>
      <c r="N90" s="22"/>
      <c r="O90" s="22"/>
      <c r="P90" s="22"/>
      <c r="Q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H90" s="22"/>
      <c r="AI90" s="22"/>
      <c r="AJ90" s="22"/>
      <c r="AK90" s="22"/>
    </row>
    <row r="91" spans="1:37" ht="15.75" customHeight="1" x14ac:dyDescent="0.25">
      <c r="A91" s="22"/>
      <c r="B91" s="22"/>
      <c r="C91" s="22"/>
      <c r="D91" s="22"/>
      <c r="E91" s="22"/>
      <c r="H91" s="22"/>
      <c r="I91" s="22"/>
      <c r="J91" s="22"/>
      <c r="K91" s="22"/>
      <c r="N91" s="22"/>
      <c r="O91" s="22"/>
      <c r="P91" s="22"/>
      <c r="Q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H91" s="22"/>
      <c r="AI91" s="22"/>
      <c r="AJ91" s="22"/>
      <c r="AK91" s="22"/>
    </row>
    <row r="92" spans="1:37" ht="15.75" customHeight="1" x14ac:dyDescent="0.25">
      <c r="A92" s="22"/>
      <c r="B92" s="22"/>
      <c r="C92" s="22"/>
      <c r="D92" s="22"/>
      <c r="E92" s="22"/>
      <c r="H92" s="22"/>
      <c r="I92" s="22"/>
      <c r="J92" s="22"/>
      <c r="K92" s="22"/>
      <c r="N92" s="22"/>
      <c r="O92" s="22"/>
      <c r="P92" s="22"/>
      <c r="Q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H92" s="22"/>
      <c r="AI92" s="22"/>
      <c r="AJ92" s="22"/>
      <c r="AK92" s="22"/>
    </row>
    <row r="93" spans="1:37" ht="15.75" customHeight="1" x14ac:dyDescent="0.25">
      <c r="A93" s="22"/>
      <c r="B93" s="22"/>
      <c r="C93" s="22"/>
      <c r="D93" s="22"/>
      <c r="E93" s="22"/>
      <c r="H93" s="22"/>
      <c r="I93" s="22"/>
      <c r="J93" s="22"/>
      <c r="K93" s="22"/>
      <c r="N93" s="22"/>
      <c r="O93" s="22"/>
      <c r="P93" s="22"/>
      <c r="Q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H93" s="22"/>
      <c r="AI93" s="22"/>
      <c r="AJ93" s="22"/>
      <c r="AK93" s="22"/>
    </row>
    <row r="94" spans="1:37" ht="15.75" customHeight="1" x14ac:dyDescent="0.25">
      <c r="A94" s="22"/>
      <c r="B94" s="22"/>
      <c r="C94" s="22"/>
      <c r="D94" s="22"/>
      <c r="E94" s="22"/>
      <c r="H94" s="22"/>
      <c r="I94" s="22"/>
      <c r="J94" s="22"/>
      <c r="K94" s="22"/>
      <c r="N94" s="22"/>
      <c r="O94" s="22"/>
      <c r="P94" s="22"/>
      <c r="Q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H94" s="22"/>
      <c r="AI94" s="22"/>
      <c r="AJ94" s="22"/>
      <c r="AK94" s="22"/>
    </row>
    <row r="95" spans="1:37" ht="15.75" customHeight="1" x14ac:dyDescent="0.25">
      <c r="A95" s="22"/>
      <c r="B95" s="22"/>
      <c r="C95" s="22"/>
      <c r="D95" s="22"/>
      <c r="E95" s="22"/>
      <c r="H95" s="22"/>
      <c r="I95" s="22"/>
      <c r="J95" s="22"/>
      <c r="K95" s="22"/>
      <c r="N95" s="22"/>
      <c r="O95" s="22"/>
      <c r="P95" s="22"/>
      <c r="Q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H95" s="22"/>
      <c r="AI95" s="22"/>
      <c r="AJ95" s="22"/>
      <c r="AK95" s="22"/>
    </row>
    <row r="96" spans="1:37" ht="15.75" customHeight="1" x14ac:dyDescent="0.25">
      <c r="A96" s="22"/>
      <c r="B96" s="22"/>
      <c r="C96" s="22"/>
      <c r="D96" s="22"/>
      <c r="E96" s="22"/>
      <c r="H96" s="22"/>
      <c r="I96" s="22"/>
      <c r="J96" s="22"/>
      <c r="K96" s="22"/>
      <c r="N96" s="22"/>
      <c r="O96" s="22"/>
      <c r="P96" s="22"/>
      <c r="Q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H96" s="22"/>
      <c r="AI96" s="22"/>
      <c r="AJ96" s="22"/>
      <c r="AK96" s="22"/>
    </row>
    <row r="97" spans="1:37" ht="15.75" customHeight="1" x14ac:dyDescent="0.25">
      <c r="A97" s="22"/>
      <c r="B97" s="22"/>
      <c r="C97" s="22"/>
      <c r="D97" s="22"/>
      <c r="E97" s="22"/>
      <c r="H97" s="22"/>
      <c r="I97" s="22"/>
      <c r="J97" s="22"/>
      <c r="K97" s="22"/>
      <c r="N97" s="22"/>
      <c r="O97" s="22"/>
      <c r="P97" s="22"/>
      <c r="Q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H97" s="22"/>
      <c r="AI97" s="22"/>
      <c r="AJ97" s="22"/>
      <c r="AK97" s="22"/>
    </row>
    <row r="98" spans="1:37" ht="15.75" customHeight="1" x14ac:dyDescent="0.25">
      <c r="A98" s="22"/>
      <c r="B98" s="22"/>
      <c r="C98" s="22"/>
      <c r="D98" s="22"/>
      <c r="E98" s="22"/>
      <c r="H98" s="22"/>
      <c r="I98" s="22"/>
      <c r="J98" s="22"/>
      <c r="K98" s="22"/>
      <c r="N98" s="22"/>
      <c r="O98" s="22"/>
      <c r="P98" s="22"/>
      <c r="Q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H98" s="22"/>
      <c r="AI98" s="22"/>
      <c r="AJ98" s="22"/>
      <c r="AK98" s="22"/>
    </row>
    <row r="99" spans="1:37" ht="15.75" customHeight="1" x14ac:dyDescent="0.25">
      <c r="A99" s="22"/>
      <c r="B99" s="22"/>
      <c r="C99" s="22"/>
      <c r="D99" s="22"/>
      <c r="E99" s="22"/>
      <c r="H99" s="22"/>
      <c r="I99" s="22"/>
      <c r="J99" s="22"/>
      <c r="K99" s="22"/>
      <c r="N99" s="22"/>
      <c r="O99" s="22"/>
      <c r="P99" s="22"/>
      <c r="Q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H99" s="22"/>
      <c r="AI99" s="22"/>
      <c r="AJ99" s="22"/>
      <c r="AK99" s="22"/>
    </row>
    <row r="100" spans="1:37" ht="15.75" customHeight="1" x14ac:dyDescent="0.25">
      <c r="A100" s="22"/>
      <c r="B100" s="22"/>
      <c r="C100" s="22"/>
      <c r="D100" s="22"/>
      <c r="E100" s="22"/>
      <c r="H100" s="22"/>
      <c r="I100" s="22"/>
      <c r="J100" s="22"/>
      <c r="K100" s="22"/>
      <c r="N100" s="22"/>
      <c r="O100" s="22"/>
      <c r="P100" s="22"/>
      <c r="Q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H100" s="22"/>
      <c r="AI100" s="22"/>
      <c r="AJ100" s="22"/>
      <c r="AK100" s="22"/>
    </row>
    <row r="101" spans="1:37" ht="15.75" customHeight="1" x14ac:dyDescent="0.25">
      <c r="A101" s="22"/>
      <c r="B101" s="22"/>
      <c r="C101" s="22"/>
      <c r="D101" s="22"/>
      <c r="E101" s="22"/>
      <c r="H101" s="22"/>
      <c r="I101" s="22"/>
      <c r="J101" s="22"/>
      <c r="K101" s="22"/>
      <c r="N101" s="22"/>
      <c r="O101" s="22"/>
      <c r="P101" s="22"/>
      <c r="Q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H101" s="22"/>
      <c r="AI101" s="22"/>
      <c r="AJ101" s="22"/>
      <c r="AK101" s="22"/>
    </row>
    <row r="102" spans="1:37" ht="15.75" customHeight="1" x14ac:dyDescent="0.25">
      <c r="A102" s="22"/>
      <c r="B102" s="22"/>
      <c r="C102" s="22"/>
      <c r="D102" s="22"/>
      <c r="E102" s="22"/>
      <c r="H102" s="22"/>
      <c r="I102" s="22"/>
      <c r="J102" s="22"/>
      <c r="K102" s="22"/>
      <c r="N102" s="22"/>
      <c r="O102" s="22"/>
      <c r="P102" s="22"/>
      <c r="Q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H102" s="22"/>
      <c r="AI102" s="22"/>
      <c r="AJ102" s="22"/>
      <c r="AK102" s="22"/>
    </row>
    <row r="103" spans="1:37" ht="15.75" customHeight="1" x14ac:dyDescent="0.25">
      <c r="A103" s="22"/>
      <c r="B103" s="22"/>
      <c r="C103" s="22"/>
      <c r="D103" s="22"/>
      <c r="E103" s="22"/>
      <c r="H103" s="22"/>
      <c r="I103" s="22"/>
      <c r="J103" s="22"/>
      <c r="K103" s="22"/>
      <c r="N103" s="22"/>
      <c r="O103" s="22"/>
      <c r="P103" s="22"/>
      <c r="Q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H103" s="22"/>
      <c r="AI103" s="22"/>
      <c r="AJ103" s="22"/>
      <c r="AK103" s="22"/>
    </row>
    <row r="104" spans="1:37" ht="15.75" customHeight="1" x14ac:dyDescent="0.25">
      <c r="A104" s="22"/>
      <c r="B104" s="22"/>
      <c r="C104" s="22"/>
      <c r="D104" s="22"/>
      <c r="E104" s="22"/>
      <c r="H104" s="22"/>
      <c r="I104" s="22"/>
      <c r="J104" s="22"/>
      <c r="K104" s="22"/>
      <c r="N104" s="22"/>
      <c r="O104" s="22"/>
      <c r="P104" s="22"/>
      <c r="Q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H104" s="22"/>
      <c r="AI104" s="22"/>
      <c r="AJ104" s="22"/>
      <c r="AK104" s="22"/>
    </row>
    <row r="105" spans="1:37" ht="15.75" customHeight="1" x14ac:dyDescent="0.25">
      <c r="A105" s="22"/>
      <c r="B105" s="22"/>
      <c r="C105" s="22"/>
      <c r="D105" s="22"/>
      <c r="E105" s="22"/>
      <c r="H105" s="22"/>
      <c r="I105" s="22"/>
      <c r="J105" s="22"/>
      <c r="K105" s="22"/>
      <c r="N105" s="22"/>
      <c r="O105" s="22"/>
      <c r="P105" s="22"/>
      <c r="Q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H105" s="22"/>
      <c r="AI105" s="22"/>
      <c r="AJ105" s="22"/>
      <c r="AK105" s="22"/>
    </row>
    <row r="106" spans="1:37" ht="15.75" customHeight="1" x14ac:dyDescent="0.25">
      <c r="A106" s="22"/>
      <c r="B106" s="22"/>
      <c r="C106" s="22"/>
      <c r="D106" s="22"/>
      <c r="E106" s="22"/>
      <c r="H106" s="22"/>
      <c r="I106" s="22"/>
      <c r="J106" s="22"/>
      <c r="K106" s="22"/>
      <c r="N106" s="22"/>
      <c r="O106" s="22"/>
      <c r="P106" s="22"/>
      <c r="Q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H106" s="22"/>
      <c r="AI106" s="22"/>
      <c r="AJ106" s="22"/>
      <c r="AK106" s="22"/>
    </row>
    <row r="107" spans="1:37" ht="15.75" customHeight="1" x14ac:dyDescent="0.25">
      <c r="A107" s="22"/>
      <c r="B107" s="22"/>
      <c r="C107" s="22"/>
      <c r="D107" s="22"/>
      <c r="E107" s="22"/>
      <c r="H107" s="22"/>
      <c r="I107" s="22"/>
      <c r="J107" s="22"/>
      <c r="K107" s="22"/>
      <c r="N107" s="22"/>
      <c r="O107" s="22"/>
      <c r="P107" s="22"/>
      <c r="Q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H107" s="22"/>
      <c r="AI107" s="22"/>
      <c r="AJ107" s="22"/>
      <c r="AK107" s="22"/>
    </row>
    <row r="108" spans="1:37" ht="15.75" customHeight="1" x14ac:dyDescent="0.25">
      <c r="A108" s="22"/>
      <c r="B108" s="22"/>
      <c r="C108" s="22"/>
      <c r="D108" s="22"/>
      <c r="E108" s="22"/>
      <c r="H108" s="22"/>
      <c r="I108" s="22"/>
      <c r="J108" s="22"/>
      <c r="K108" s="22"/>
      <c r="N108" s="22"/>
      <c r="O108" s="22"/>
      <c r="P108" s="22"/>
      <c r="Q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H108" s="22"/>
      <c r="AI108" s="22"/>
      <c r="AJ108" s="22"/>
      <c r="AK108" s="22"/>
    </row>
    <row r="109" spans="1:37" ht="15.75" customHeight="1" x14ac:dyDescent="0.25">
      <c r="A109" s="22"/>
      <c r="B109" s="22"/>
      <c r="C109" s="22"/>
      <c r="D109" s="22"/>
      <c r="E109" s="22"/>
      <c r="H109" s="22"/>
      <c r="I109" s="22"/>
      <c r="J109" s="22"/>
      <c r="K109" s="22"/>
      <c r="N109" s="22"/>
      <c r="O109" s="22"/>
      <c r="P109" s="22"/>
      <c r="Q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H109" s="22"/>
      <c r="AI109" s="22"/>
      <c r="AJ109" s="22"/>
      <c r="AK109" s="22"/>
    </row>
    <row r="110" spans="1:37" ht="15.75" customHeight="1" x14ac:dyDescent="0.25">
      <c r="A110" s="22"/>
      <c r="B110" s="22"/>
      <c r="C110" s="22"/>
      <c r="D110" s="22"/>
      <c r="E110" s="22"/>
      <c r="H110" s="22"/>
      <c r="I110" s="22"/>
      <c r="J110" s="22"/>
      <c r="K110" s="22"/>
      <c r="N110" s="22"/>
      <c r="O110" s="22"/>
      <c r="P110" s="22"/>
      <c r="Q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H110" s="22"/>
      <c r="AI110" s="22"/>
      <c r="AJ110" s="22"/>
      <c r="AK110" s="22"/>
    </row>
    <row r="111" spans="1:37" ht="15.75" customHeight="1" x14ac:dyDescent="0.25">
      <c r="A111" s="22"/>
      <c r="B111" s="22"/>
      <c r="C111" s="22"/>
      <c r="D111" s="22"/>
      <c r="E111" s="22"/>
      <c r="H111" s="22"/>
      <c r="I111" s="22"/>
      <c r="J111" s="22"/>
      <c r="K111" s="22"/>
      <c r="N111" s="22"/>
      <c r="O111" s="22"/>
      <c r="P111" s="22"/>
      <c r="Q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H111" s="22"/>
      <c r="AI111" s="22"/>
      <c r="AJ111" s="22"/>
      <c r="AK111" s="22"/>
    </row>
    <row r="112" spans="1:37" ht="15.75" customHeight="1" x14ac:dyDescent="0.25">
      <c r="A112" s="22"/>
      <c r="B112" s="22"/>
      <c r="C112" s="22"/>
      <c r="D112" s="22"/>
      <c r="E112" s="22"/>
      <c r="H112" s="22"/>
      <c r="I112" s="22"/>
      <c r="J112" s="22"/>
      <c r="K112" s="22"/>
      <c r="N112" s="22"/>
      <c r="O112" s="22"/>
      <c r="P112" s="22"/>
      <c r="Q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H112" s="22"/>
      <c r="AI112" s="22"/>
      <c r="AJ112" s="22"/>
      <c r="AK112" s="22"/>
    </row>
    <row r="113" spans="1:37" ht="15.75" customHeight="1" x14ac:dyDescent="0.25">
      <c r="A113" s="22"/>
      <c r="B113" s="22"/>
      <c r="C113" s="22"/>
      <c r="D113" s="22"/>
      <c r="E113" s="22"/>
      <c r="H113" s="22"/>
      <c r="I113" s="22"/>
      <c r="J113" s="22"/>
      <c r="K113" s="22"/>
      <c r="N113" s="22"/>
      <c r="O113" s="22"/>
      <c r="P113" s="22"/>
      <c r="Q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H113" s="22"/>
      <c r="AI113" s="22"/>
      <c r="AJ113" s="22"/>
      <c r="AK113" s="22"/>
    </row>
    <row r="114" spans="1:37" ht="15.75" customHeight="1" x14ac:dyDescent="0.25">
      <c r="A114" s="22"/>
      <c r="B114" s="22"/>
      <c r="C114" s="22"/>
      <c r="D114" s="22"/>
      <c r="E114" s="22"/>
      <c r="H114" s="22"/>
      <c r="I114" s="22"/>
      <c r="J114" s="22"/>
      <c r="K114" s="22"/>
      <c r="N114" s="22"/>
      <c r="O114" s="22"/>
      <c r="P114" s="22"/>
      <c r="Q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H114" s="22"/>
      <c r="AI114" s="22"/>
      <c r="AJ114" s="22"/>
      <c r="AK114" s="22"/>
    </row>
    <row r="115" spans="1:37" ht="15.75" customHeight="1" x14ac:dyDescent="0.25">
      <c r="A115" s="22"/>
      <c r="B115" s="22"/>
      <c r="C115" s="22"/>
      <c r="D115" s="22"/>
      <c r="E115" s="22"/>
      <c r="H115" s="22"/>
      <c r="I115" s="22"/>
      <c r="J115" s="22"/>
      <c r="K115" s="22"/>
      <c r="N115" s="22"/>
      <c r="O115" s="22"/>
      <c r="P115" s="22"/>
      <c r="Q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H115" s="22"/>
      <c r="AI115" s="22"/>
      <c r="AJ115" s="22"/>
      <c r="AK115" s="22"/>
    </row>
    <row r="116" spans="1:37" ht="15.75" customHeight="1" x14ac:dyDescent="0.25">
      <c r="A116" s="22"/>
      <c r="B116" s="22"/>
      <c r="C116" s="22"/>
      <c r="D116" s="22"/>
      <c r="E116" s="22"/>
      <c r="H116" s="22"/>
      <c r="I116" s="22"/>
      <c r="J116" s="22"/>
      <c r="K116" s="22"/>
      <c r="N116" s="22"/>
      <c r="O116" s="22"/>
      <c r="P116" s="22"/>
      <c r="Q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H116" s="22"/>
      <c r="AI116" s="22"/>
      <c r="AJ116" s="22"/>
      <c r="AK116" s="22"/>
    </row>
    <row r="117" spans="1:37" ht="15.75" customHeight="1" x14ac:dyDescent="0.25">
      <c r="A117" s="22"/>
      <c r="B117" s="22"/>
      <c r="C117" s="22"/>
      <c r="D117" s="22"/>
      <c r="E117" s="22"/>
      <c r="H117" s="22"/>
      <c r="I117" s="22"/>
      <c r="J117" s="22"/>
      <c r="K117" s="22"/>
      <c r="N117" s="22"/>
      <c r="O117" s="22"/>
      <c r="P117" s="22"/>
      <c r="Q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H117" s="22"/>
      <c r="AI117" s="22"/>
      <c r="AJ117" s="22"/>
      <c r="AK117" s="22"/>
    </row>
    <row r="118" spans="1:37" ht="15.75" customHeight="1" x14ac:dyDescent="0.25">
      <c r="A118" s="22"/>
      <c r="B118" s="22"/>
      <c r="C118" s="22"/>
      <c r="D118" s="22"/>
      <c r="E118" s="22"/>
      <c r="H118" s="22"/>
      <c r="I118" s="22"/>
      <c r="J118" s="22"/>
      <c r="K118" s="22"/>
      <c r="N118" s="22"/>
      <c r="O118" s="22"/>
      <c r="P118" s="22"/>
      <c r="Q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H118" s="22"/>
      <c r="AI118" s="22"/>
      <c r="AJ118" s="22"/>
      <c r="AK118" s="22"/>
    </row>
    <row r="119" spans="1:37" ht="15.75" customHeight="1" x14ac:dyDescent="0.25">
      <c r="A119" s="22"/>
      <c r="B119" s="22"/>
      <c r="C119" s="22"/>
      <c r="D119" s="22"/>
      <c r="E119" s="22"/>
      <c r="H119" s="22"/>
      <c r="I119" s="22"/>
      <c r="J119" s="22"/>
      <c r="K119" s="22"/>
      <c r="N119" s="22"/>
      <c r="O119" s="22"/>
      <c r="P119" s="22"/>
      <c r="Q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H119" s="22"/>
      <c r="AI119" s="22"/>
      <c r="AJ119" s="22"/>
      <c r="AK119" s="22"/>
    </row>
    <row r="120" spans="1:37" ht="15.75" customHeight="1" x14ac:dyDescent="0.25">
      <c r="A120" s="22"/>
      <c r="B120" s="22"/>
      <c r="C120" s="22"/>
      <c r="D120" s="22"/>
      <c r="E120" s="22"/>
      <c r="H120" s="22"/>
      <c r="I120" s="22"/>
      <c r="J120" s="22"/>
      <c r="K120" s="22"/>
      <c r="N120" s="22"/>
      <c r="O120" s="22"/>
      <c r="P120" s="22"/>
      <c r="Q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H120" s="22"/>
      <c r="AI120" s="22"/>
      <c r="AJ120" s="22"/>
      <c r="AK120" s="22"/>
    </row>
    <row r="121" spans="1:37" ht="15.75" customHeight="1" x14ac:dyDescent="0.25">
      <c r="A121" s="22"/>
      <c r="B121" s="22"/>
      <c r="C121" s="22"/>
      <c r="D121" s="22"/>
      <c r="E121" s="22"/>
      <c r="H121" s="22"/>
      <c r="I121" s="22"/>
      <c r="J121" s="22"/>
      <c r="K121" s="22"/>
      <c r="N121" s="22"/>
      <c r="O121" s="22"/>
      <c r="P121" s="22"/>
      <c r="Q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H121" s="22"/>
      <c r="AI121" s="22"/>
      <c r="AJ121" s="22"/>
      <c r="AK121" s="22"/>
    </row>
    <row r="122" spans="1:37" ht="15.75" customHeight="1" x14ac:dyDescent="0.25">
      <c r="A122" s="22"/>
      <c r="B122" s="22"/>
      <c r="C122" s="22"/>
      <c r="D122" s="22"/>
      <c r="E122" s="22"/>
      <c r="H122" s="22"/>
      <c r="I122" s="22"/>
      <c r="J122" s="22"/>
      <c r="K122" s="22"/>
      <c r="N122" s="22"/>
      <c r="O122" s="22"/>
      <c r="P122" s="22"/>
      <c r="Q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H122" s="22"/>
      <c r="AI122" s="22"/>
      <c r="AJ122" s="22"/>
      <c r="AK122" s="22"/>
    </row>
    <row r="123" spans="1:37" ht="15.75" customHeight="1" x14ac:dyDescent="0.25">
      <c r="A123" s="22"/>
      <c r="B123" s="22"/>
      <c r="C123" s="22"/>
      <c r="D123" s="22"/>
      <c r="E123" s="22"/>
      <c r="H123" s="22"/>
      <c r="I123" s="22"/>
      <c r="J123" s="22"/>
      <c r="K123" s="22"/>
      <c r="N123" s="22"/>
      <c r="O123" s="22"/>
      <c r="P123" s="22"/>
      <c r="Q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H123" s="22"/>
      <c r="AI123" s="22"/>
      <c r="AJ123" s="22"/>
      <c r="AK123" s="22"/>
    </row>
    <row r="124" spans="1:37" ht="15.75" customHeight="1" x14ac:dyDescent="0.25">
      <c r="A124" s="22"/>
      <c r="B124" s="22"/>
      <c r="C124" s="22"/>
      <c r="D124" s="22"/>
      <c r="E124" s="22"/>
      <c r="H124" s="22"/>
      <c r="I124" s="22"/>
      <c r="J124" s="22"/>
      <c r="K124" s="22"/>
      <c r="N124" s="22"/>
      <c r="O124" s="22"/>
      <c r="P124" s="22"/>
      <c r="Q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H124" s="22"/>
      <c r="AI124" s="22"/>
      <c r="AJ124" s="22"/>
      <c r="AK124" s="22"/>
    </row>
    <row r="125" spans="1:37" ht="15.75" customHeight="1" x14ac:dyDescent="0.25">
      <c r="A125" s="22"/>
      <c r="B125" s="22"/>
      <c r="C125" s="22"/>
      <c r="D125" s="22"/>
      <c r="E125" s="22"/>
      <c r="H125" s="22"/>
      <c r="I125" s="22"/>
      <c r="J125" s="22"/>
      <c r="K125" s="22"/>
      <c r="N125" s="22"/>
      <c r="O125" s="22"/>
      <c r="P125" s="22"/>
      <c r="Q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H125" s="22"/>
      <c r="AI125" s="22"/>
      <c r="AJ125" s="22"/>
      <c r="AK125" s="22"/>
    </row>
    <row r="126" spans="1:37" ht="15.75" customHeight="1" x14ac:dyDescent="0.25">
      <c r="A126" s="22"/>
      <c r="B126" s="22"/>
      <c r="C126" s="22"/>
      <c r="D126" s="22"/>
      <c r="E126" s="22"/>
      <c r="H126" s="22"/>
      <c r="I126" s="22"/>
      <c r="J126" s="22"/>
      <c r="K126" s="22"/>
      <c r="N126" s="22"/>
      <c r="O126" s="22"/>
      <c r="P126" s="22"/>
      <c r="Q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H126" s="22"/>
      <c r="AI126" s="22"/>
      <c r="AJ126" s="22"/>
      <c r="AK126" s="22"/>
    </row>
    <row r="127" spans="1:37" ht="15.75" customHeight="1" x14ac:dyDescent="0.25">
      <c r="A127" s="22"/>
      <c r="B127" s="22"/>
      <c r="C127" s="22"/>
      <c r="D127" s="22"/>
      <c r="E127" s="22"/>
      <c r="H127" s="22"/>
      <c r="I127" s="22"/>
      <c r="J127" s="22"/>
      <c r="K127" s="22"/>
      <c r="N127" s="22"/>
      <c r="O127" s="22"/>
      <c r="P127" s="22"/>
      <c r="Q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H127" s="22"/>
      <c r="AI127" s="22"/>
      <c r="AJ127" s="22"/>
      <c r="AK127" s="22"/>
    </row>
    <row r="128" spans="1:37" ht="15.75" customHeight="1" x14ac:dyDescent="0.25">
      <c r="A128" s="22"/>
      <c r="B128" s="22"/>
      <c r="C128" s="22"/>
      <c r="D128" s="22"/>
      <c r="E128" s="22"/>
      <c r="H128" s="22"/>
      <c r="I128" s="22"/>
      <c r="J128" s="22"/>
      <c r="K128" s="22"/>
      <c r="N128" s="22"/>
      <c r="O128" s="22"/>
      <c r="P128" s="22"/>
      <c r="Q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H128" s="22"/>
      <c r="AI128" s="22"/>
      <c r="AJ128" s="22"/>
      <c r="AK128" s="22"/>
    </row>
    <row r="129" spans="1:37" ht="15.75" customHeight="1" x14ac:dyDescent="0.25">
      <c r="A129" s="22"/>
      <c r="B129" s="22"/>
      <c r="C129" s="22"/>
      <c r="D129" s="22"/>
      <c r="E129" s="22"/>
      <c r="H129" s="22"/>
      <c r="I129" s="22"/>
      <c r="J129" s="22"/>
      <c r="K129" s="22"/>
      <c r="N129" s="22"/>
      <c r="O129" s="22"/>
      <c r="P129" s="22"/>
      <c r="Q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H129" s="22"/>
      <c r="AI129" s="22"/>
      <c r="AJ129" s="22"/>
      <c r="AK129" s="22"/>
    </row>
    <row r="130" spans="1:37" ht="15.75" customHeight="1" x14ac:dyDescent="0.25">
      <c r="A130" s="22"/>
      <c r="B130" s="22"/>
      <c r="C130" s="22"/>
      <c r="D130" s="22"/>
      <c r="E130" s="22"/>
      <c r="H130" s="22"/>
      <c r="I130" s="22"/>
      <c r="J130" s="22"/>
      <c r="K130" s="22"/>
      <c r="N130" s="22"/>
      <c r="O130" s="22"/>
      <c r="P130" s="22"/>
      <c r="Q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H130" s="22"/>
      <c r="AI130" s="22"/>
      <c r="AJ130" s="22"/>
      <c r="AK130" s="22"/>
    </row>
    <row r="131" spans="1:37" ht="15.75" customHeight="1" x14ac:dyDescent="0.25">
      <c r="A131" s="22"/>
      <c r="B131" s="22"/>
      <c r="C131" s="22"/>
      <c r="D131" s="22"/>
      <c r="E131" s="22"/>
      <c r="H131" s="22"/>
      <c r="I131" s="22"/>
      <c r="J131" s="22"/>
      <c r="K131" s="22"/>
      <c r="N131" s="22"/>
      <c r="O131" s="22"/>
      <c r="P131" s="22"/>
      <c r="Q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H131" s="22"/>
      <c r="AI131" s="22"/>
      <c r="AJ131" s="22"/>
      <c r="AK131" s="22"/>
    </row>
    <row r="132" spans="1:37" ht="15.75" customHeight="1" x14ac:dyDescent="0.25">
      <c r="A132" s="22"/>
      <c r="B132" s="22"/>
      <c r="C132" s="22"/>
      <c r="D132" s="22"/>
      <c r="E132" s="22"/>
      <c r="H132" s="22"/>
      <c r="I132" s="22"/>
      <c r="J132" s="22"/>
      <c r="K132" s="22"/>
      <c r="N132" s="22"/>
      <c r="O132" s="22"/>
      <c r="P132" s="22"/>
      <c r="Q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H132" s="22"/>
      <c r="AI132" s="22"/>
      <c r="AJ132" s="22"/>
      <c r="AK132" s="22"/>
    </row>
    <row r="133" spans="1:37" ht="15.75" customHeight="1" x14ac:dyDescent="0.25">
      <c r="A133" s="22"/>
      <c r="B133" s="22"/>
      <c r="C133" s="22"/>
      <c r="D133" s="22"/>
      <c r="E133" s="22"/>
      <c r="H133" s="22"/>
      <c r="I133" s="22"/>
      <c r="J133" s="22"/>
      <c r="K133" s="22"/>
      <c r="N133" s="22"/>
      <c r="O133" s="22"/>
      <c r="P133" s="22"/>
      <c r="Q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H133" s="22"/>
      <c r="AI133" s="22"/>
      <c r="AJ133" s="22"/>
      <c r="AK133" s="22"/>
    </row>
    <row r="134" spans="1:37" ht="15.75" customHeight="1" x14ac:dyDescent="0.25">
      <c r="A134" s="22"/>
      <c r="B134" s="22"/>
      <c r="C134" s="22"/>
      <c r="D134" s="22"/>
      <c r="E134" s="22"/>
      <c r="H134" s="22"/>
      <c r="I134" s="22"/>
      <c r="J134" s="22"/>
      <c r="K134" s="22"/>
      <c r="N134" s="22"/>
      <c r="O134" s="22"/>
      <c r="P134" s="22"/>
      <c r="Q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H134" s="22"/>
      <c r="AI134" s="22"/>
      <c r="AJ134" s="22"/>
      <c r="AK134" s="22"/>
    </row>
    <row r="135" spans="1:37" ht="15.75" customHeight="1" x14ac:dyDescent="0.25">
      <c r="A135" s="22"/>
      <c r="B135" s="22"/>
      <c r="C135" s="22"/>
      <c r="D135" s="22"/>
      <c r="E135" s="22"/>
      <c r="H135" s="22"/>
      <c r="I135" s="22"/>
      <c r="J135" s="22"/>
      <c r="K135" s="22"/>
      <c r="N135" s="22"/>
      <c r="O135" s="22"/>
      <c r="P135" s="22"/>
      <c r="Q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H135" s="22"/>
      <c r="AI135" s="22"/>
      <c r="AJ135" s="22"/>
      <c r="AK135" s="22"/>
    </row>
    <row r="136" spans="1:37" ht="15.75" customHeight="1" x14ac:dyDescent="0.25">
      <c r="A136" s="22"/>
      <c r="B136" s="22"/>
      <c r="C136" s="22"/>
      <c r="D136" s="22"/>
      <c r="E136" s="22"/>
      <c r="H136" s="22"/>
      <c r="I136" s="22"/>
      <c r="J136" s="22"/>
      <c r="K136" s="22"/>
      <c r="N136" s="22"/>
      <c r="O136" s="22"/>
      <c r="P136" s="22"/>
      <c r="Q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H136" s="22"/>
      <c r="AI136" s="22"/>
      <c r="AJ136" s="22"/>
      <c r="AK136" s="22"/>
    </row>
    <row r="137" spans="1:37" ht="15.75" customHeight="1" x14ac:dyDescent="0.25">
      <c r="A137" s="22"/>
      <c r="B137" s="22"/>
      <c r="C137" s="22"/>
      <c r="D137" s="22"/>
      <c r="E137" s="22"/>
      <c r="H137" s="22"/>
      <c r="I137" s="22"/>
      <c r="J137" s="22"/>
      <c r="K137" s="22"/>
      <c r="N137" s="22"/>
      <c r="O137" s="22"/>
      <c r="P137" s="22"/>
      <c r="Q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H137" s="22"/>
      <c r="AI137" s="22"/>
      <c r="AJ137" s="22"/>
      <c r="AK137" s="22"/>
    </row>
    <row r="138" spans="1:37" ht="15.75" customHeight="1" x14ac:dyDescent="0.25">
      <c r="A138" s="22"/>
      <c r="B138" s="22"/>
      <c r="C138" s="22"/>
      <c r="D138" s="22"/>
      <c r="E138" s="22"/>
      <c r="H138" s="22"/>
      <c r="I138" s="22"/>
      <c r="J138" s="22"/>
      <c r="K138" s="22"/>
      <c r="N138" s="22"/>
      <c r="O138" s="22"/>
      <c r="P138" s="22"/>
      <c r="Q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H138" s="22"/>
      <c r="AI138" s="22"/>
      <c r="AJ138" s="22"/>
      <c r="AK138" s="22"/>
    </row>
    <row r="139" spans="1:37" ht="15.75" customHeight="1" x14ac:dyDescent="0.25">
      <c r="A139" s="22"/>
      <c r="B139" s="22"/>
      <c r="C139" s="22"/>
      <c r="D139" s="22"/>
      <c r="E139" s="22"/>
      <c r="H139" s="22"/>
      <c r="I139" s="22"/>
      <c r="J139" s="22"/>
      <c r="K139" s="22"/>
      <c r="N139" s="22"/>
      <c r="O139" s="22"/>
      <c r="P139" s="22"/>
      <c r="Q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H139" s="22"/>
      <c r="AI139" s="22"/>
      <c r="AJ139" s="22"/>
      <c r="AK139" s="22"/>
    </row>
    <row r="140" spans="1:37" ht="15.75" customHeight="1" x14ac:dyDescent="0.25">
      <c r="A140" s="22"/>
      <c r="B140" s="22"/>
      <c r="C140" s="22"/>
      <c r="D140" s="22"/>
      <c r="E140" s="22"/>
      <c r="H140" s="22"/>
      <c r="I140" s="22"/>
      <c r="J140" s="22"/>
      <c r="K140" s="22"/>
      <c r="N140" s="22"/>
      <c r="O140" s="22"/>
      <c r="P140" s="22"/>
      <c r="Q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H140" s="22"/>
      <c r="AI140" s="22"/>
      <c r="AJ140" s="22"/>
      <c r="AK140" s="22"/>
    </row>
    <row r="141" spans="1:37" ht="15.75" customHeight="1" x14ac:dyDescent="0.25">
      <c r="A141" s="22"/>
      <c r="B141" s="22"/>
      <c r="C141" s="22"/>
      <c r="D141" s="22"/>
      <c r="E141" s="22"/>
      <c r="H141" s="22"/>
      <c r="I141" s="22"/>
      <c r="J141" s="22"/>
      <c r="K141" s="22"/>
      <c r="N141" s="22"/>
      <c r="O141" s="22"/>
      <c r="P141" s="22"/>
      <c r="Q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H141" s="22"/>
      <c r="AI141" s="22"/>
      <c r="AJ141" s="22"/>
      <c r="AK141" s="22"/>
    </row>
    <row r="142" spans="1:37" ht="15.75" customHeight="1" x14ac:dyDescent="0.25">
      <c r="A142" s="22"/>
      <c r="B142" s="22"/>
      <c r="C142" s="22"/>
      <c r="D142" s="22"/>
      <c r="E142" s="22"/>
      <c r="H142" s="22"/>
      <c r="I142" s="22"/>
      <c r="J142" s="22"/>
      <c r="K142" s="22"/>
      <c r="N142" s="22"/>
      <c r="O142" s="22"/>
      <c r="P142" s="22"/>
      <c r="Q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H142" s="22"/>
      <c r="AI142" s="22"/>
      <c r="AJ142" s="22"/>
      <c r="AK142" s="22"/>
    </row>
    <row r="143" spans="1:37" ht="15.75" customHeight="1" x14ac:dyDescent="0.25">
      <c r="A143" s="22"/>
      <c r="B143" s="22"/>
      <c r="C143" s="22"/>
      <c r="D143" s="22"/>
      <c r="E143" s="22"/>
      <c r="H143" s="22"/>
      <c r="I143" s="22"/>
      <c r="J143" s="22"/>
      <c r="K143" s="22"/>
      <c r="N143" s="22"/>
      <c r="O143" s="22"/>
      <c r="P143" s="22"/>
      <c r="Q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H143" s="22"/>
      <c r="AI143" s="22"/>
      <c r="AJ143" s="22"/>
      <c r="AK143" s="22"/>
    </row>
    <row r="144" spans="1:37" ht="15.75" customHeight="1" x14ac:dyDescent="0.25">
      <c r="A144" s="22"/>
      <c r="B144" s="22"/>
      <c r="C144" s="22"/>
      <c r="D144" s="22"/>
      <c r="E144" s="22"/>
      <c r="H144" s="22"/>
      <c r="I144" s="22"/>
      <c r="J144" s="22"/>
      <c r="K144" s="22"/>
      <c r="N144" s="22"/>
      <c r="O144" s="22"/>
      <c r="P144" s="22"/>
      <c r="Q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H144" s="22"/>
      <c r="AI144" s="22"/>
      <c r="AJ144" s="22"/>
      <c r="AK144" s="22"/>
    </row>
    <row r="145" spans="1:37" ht="15.75" customHeight="1" x14ac:dyDescent="0.25">
      <c r="A145" s="22"/>
      <c r="B145" s="22"/>
      <c r="C145" s="22"/>
      <c r="D145" s="22"/>
      <c r="E145" s="22"/>
      <c r="H145" s="22"/>
      <c r="I145" s="22"/>
      <c r="J145" s="22"/>
      <c r="K145" s="22"/>
      <c r="N145" s="22"/>
      <c r="O145" s="22"/>
      <c r="P145" s="22"/>
      <c r="Q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H145" s="22"/>
      <c r="AI145" s="22"/>
      <c r="AJ145" s="22"/>
      <c r="AK145" s="22"/>
    </row>
    <row r="146" spans="1:37" ht="15.75" customHeight="1" x14ac:dyDescent="0.25">
      <c r="A146" s="22"/>
      <c r="B146" s="22"/>
      <c r="C146" s="22"/>
      <c r="D146" s="22"/>
      <c r="E146" s="22"/>
      <c r="H146" s="22"/>
      <c r="I146" s="22"/>
      <c r="J146" s="22"/>
      <c r="K146" s="22"/>
      <c r="N146" s="22"/>
      <c r="O146" s="22"/>
      <c r="P146" s="22"/>
      <c r="Q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H146" s="22"/>
      <c r="AI146" s="22"/>
      <c r="AJ146" s="22"/>
      <c r="AK146" s="22"/>
    </row>
    <row r="147" spans="1:37" ht="15.75" customHeight="1" x14ac:dyDescent="0.25">
      <c r="A147" s="22"/>
      <c r="B147" s="22"/>
      <c r="C147" s="22"/>
      <c r="D147" s="22"/>
      <c r="E147" s="22"/>
      <c r="H147" s="22"/>
      <c r="I147" s="22"/>
      <c r="J147" s="22"/>
      <c r="K147" s="22"/>
      <c r="N147" s="22"/>
      <c r="O147" s="22"/>
      <c r="P147" s="22"/>
      <c r="Q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H147" s="22"/>
      <c r="AI147" s="22"/>
      <c r="AJ147" s="22"/>
      <c r="AK147" s="22"/>
    </row>
    <row r="148" spans="1:37" ht="15.75" customHeight="1" x14ac:dyDescent="0.25">
      <c r="A148" s="22"/>
      <c r="B148" s="22"/>
      <c r="C148" s="22"/>
      <c r="D148" s="22"/>
      <c r="E148" s="22"/>
      <c r="H148" s="22"/>
      <c r="I148" s="22"/>
      <c r="J148" s="22"/>
      <c r="K148" s="22"/>
      <c r="N148" s="22"/>
      <c r="O148" s="22"/>
      <c r="P148" s="22"/>
      <c r="Q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H148" s="22"/>
      <c r="AI148" s="22"/>
      <c r="AJ148" s="22"/>
      <c r="AK148" s="22"/>
    </row>
    <row r="149" spans="1:37" ht="15.75" customHeight="1" x14ac:dyDescent="0.25">
      <c r="A149" s="22"/>
      <c r="B149" s="22"/>
      <c r="C149" s="22"/>
      <c r="D149" s="22"/>
      <c r="E149" s="22"/>
      <c r="H149" s="22"/>
      <c r="I149" s="22"/>
      <c r="J149" s="22"/>
      <c r="K149" s="22"/>
      <c r="N149" s="22"/>
      <c r="O149" s="22"/>
      <c r="P149" s="22"/>
      <c r="Q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H149" s="22"/>
      <c r="AI149" s="22"/>
      <c r="AJ149" s="22"/>
      <c r="AK149" s="22"/>
    </row>
    <row r="150" spans="1:37" ht="15.75" customHeight="1" x14ac:dyDescent="0.25">
      <c r="A150" s="22"/>
      <c r="B150" s="22"/>
      <c r="C150" s="22"/>
      <c r="D150" s="22"/>
      <c r="E150" s="22"/>
      <c r="H150" s="22"/>
      <c r="I150" s="22"/>
      <c r="J150" s="22"/>
      <c r="K150" s="22"/>
      <c r="N150" s="22"/>
      <c r="O150" s="22"/>
      <c r="P150" s="22"/>
      <c r="Q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H150" s="22"/>
      <c r="AI150" s="22"/>
      <c r="AJ150" s="22"/>
      <c r="AK150" s="22"/>
    </row>
    <row r="151" spans="1:37" ht="15.75" customHeight="1" x14ac:dyDescent="0.25">
      <c r="A151" s="22"/>
      <c r="B151" s="22"/>
      <c r="C151" s="22"/>
      <c r="D151" s="22"/>
      <c r="E151" s="22"/>
      <c r="H151" s="22"/>
      <c r="I151" s="22"/>
      <c r="J151" s="22"/>
      <c r="K151" s="22"/>
      <c r="N151" s="22"/>
      <c r="O151" s="22"/>
      <c r="P151" s="22"/>
      <c r="Q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H151" s="22"/>
      <c r="AI151" s="22"/>
      <c r="AJ151" s="22"/>
      <c r="AK151" s="22"/>
    </row>
    <row r="152" spans="1:37" ht="15.75" customHeight="1" x14ac:dyDescent="0.25">
      <c r="A152" s="22"/>
      <c r="B152" s="22"/>
      <c r="C152" s="22"/>
      <c r="D152" s="22"/>
      <c r="E152" s="22"/>
      <c r="H152" s="22"/>
      <c r="I152" s="22"/>
      <c r="J152" s="22"/>
      <c r="K152" s="22"/>
      <c r="N152" s="22"/>
      <c r="O152" s="22"/>
      <c r="P152" s="22"/>
      <c r="Q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H152" s="22"/>
      <c r="AI152" s="22"/>
      <c r="AJ152" s="22"/>
      <c r="AK152" s="22"/>
    </row>
    <row r="153" spans="1:37" ht="15.75" customHeight="1" x14ac:dyDescent="0.25">
      <c r="A153" s="22"/>
      <c r="B153" s="22"/>
      <c r="C153" s="22"/>
      <c r="D153" s="22"/>
      <c r="E153" s="22"/>
      <c r="H153" s="22"/>
      <c r="I153" s="22"/>
      <c r="J153" s="22"/>
      <c r="K153" s="22"/>
      <c r="N153" s="22"/>
      <c r="O153" s="22"/>
      <c r="P153" s="22"/>
      <c r="Q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H153" s="22"/>
      <c r="AI153" s="22"/>
      <c r="AJ153" s="22"/>
      <c r="AK153" s="22"/>
    </row>
    <row r="154" spans="1:37" ht="15.75" customHeight="1" x14ac:dyDescent="0.25">
      <c r="A154" s="22"/>
      <c r="B154" s="22"/>
      <c r="C154" s="22"/>
      <c r="D154" s="22"/>
      <c r="E154" s="22"/>
      <c r="H154" s="22"/>
      <c r="I154" s="22"/>
      <c r="J154" s="22"/>
      <c r="K154" s="22"/>
      <c r="N154" s="22"/>
      <c r="O154" s="22"/>
      <c r="P154" s="22"/>
      <c r="Q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H154" s="22"/>
      <c r="AI154" s="22"/>
      <c r="AJ154" s="22"/>
      <c r="AK154" s="22"/>
    </row>
    <row r="155" spans="1:37" ht="15.75" customHeight="1" x14ac:dyDescent="0.25">
      <c r="A155" s="22"/>
      <c r="B155" s="22"/>
      <c r="C155" s="22"/>
      <c r="D155" s="22"/>
      <c r="E155" s="22"/>
      <c r="H155" s="22"/>
      <c r="I155" s="22"/>
      <c r="J155" s="22"/>
      <c r="K155" s="22"/>
      <c r="N155" s="22"/>
      <c r="O155" s="22"/>
      <c r="P155" s="22"/>
      <c r="Q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H155" s="22"/>
      <c r="AI155" s="22"/>
      <c r="AJ155" s="22"/>
      <c r="AK155" s="22"/>
    </row>
    <row r="156" spans="1:37" ht="15.75" customHeight="1" x14ac:dyDescent="0.25">
      <c r="A156" s="22"/>
      <c r="B156" s="22"/>
      <c r="C156" s="22"/>
      <c r="D156" s="22"/>
      <c r="E156" s="22"/>
      <c r="H156" s="22"/>
      <c r="I156" s="22"/>
      <c r="J156" s="22"/>
      <c r="K156" s="22"/>
      <c r="N156" s="22"/>
      <c r="O156" s="22"/>
      <c r="P156" s="22"/>
      <c r="Q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H156" s="22"/>
      <c r="AI156" s="22"/>
      <c r="AJ156" s="22"/>
      <c r="AK156" s="22"/>
    </row>
    <row r="157" spans="1:37" ht="15.75" customHeight="1" x14ac:dyDescent="0.25">
      <c r="A157" s="22"/>
      <c r="B157" s="22"/>
      <c r="C157" s="22"/>
      <c r="D157" s="22"/>
      <c r="E157" s="22"/>
      <c r="H157" s="22"/>
      <c r="I157" s="22"/>
      <c r="J157" s="22"/>
      <c r="K157" s="22"/>
      <c r="N157" s="22"/>
      <c r="O157" s="22"/>
      <c r="P157" s="22"/>
      <c r="Q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H157" s="22"/>
      <c r="AI157" s="22"/>
      <c r="AJ157" s="22"/>
      <c r="AK157" s="22"/>
    </row>
    <row r="158" spans="1:37" ht="15.75" customHeight="1" x14ac:dyDescent="0.25">
      <c r="A158" s="22"/>
      <c r="B158" s="22"/>
      <c r="C158" s="22"/>
      <c r="D158" s="22"/>
      <c r="E158" s="22"/>
      <c r="H158" s="22"/>
      <c r="I158" s="22"/>
      <c r="J158" s="22"/>
      <c r="K158" s="22"/>
      <c r="N158" s="22"/>
      <c r="O158" s="22"/>
      <c r="P158" s="22"/>
      <c r="Q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H158" s="22"/>
      <c r="AI158" s="22"/>
      <c r="AJ158" s="22"/>
      <c r="AK158" s="22"/>
    </row>
    <row r="159" spans="1:37" ht="15.75" customHeight="1" x14ac:dyDescent="0.25">
      <c r="A159" s="22"/>
      <c r="B159" s="22"/>
      <c r="C159" s="22"/>
      <c r="D159" s="22"/>
      <c r="E159" s="22"/>
      <c r="H159" s="22"/>
      <c r="I159" s="22"/>
      <c r="J159" s="22"/>
      <c r="K159" s="22"/>
      <c r="N159" s="22"/>
      <c r="O159" s="22"/>
      <c r="P159" s="22"/>
      <c r="Q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H159" s="22"/>
      <c r="AI159" s="22"/>
      <c r="AJ159" s="22"/>
      <c r="AK159" s="22"/>
    </row>
    <row r="160" spans="1:37" ht="15.75" customHeight="1" x14ac:dyDescent="0.25">
      <c r="A160" s="22"/>
      <c r="B160" s="22"/>
      <c r="C160" s="22"/>
      <c r="D160" s="22"/>
      <c r="E160" s="22"/>
      <c r="H160" s="22"/>
      <c r="I160" s="22"/>
      <c r="J160" s="22"/>
      <c r="K160" s="22"/>
      <c r="N160" s="22"/>
      <c r="O160" s="22"/>
      <c r="P160" s="22"/>
      <c r="Q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H160" s="22"/>
      <c r="AI160" s="22"/>
      <c r="AJ160" s="22"/>
      <c r="AK160" s="22"/>
    </row>
    <row r="161" spans="1:37" ht="15.75" customHeight="1" x14ac:dyDescent="0.25">
      <c r="A161" s="22"/>
      <c r="B161" s="22"/>
      <c r="C161" s="22"/>
      <c r="D161" s="22"/>
      <c r="E161" s="22"/>
      <c r="H161" s="22"/>
      <c r="I161" s="22"/>
      <c r="J161" s="22"/>
      <c r="K161" s="22"/>
      <c r="N161" s="22"/>
      <c r="O161" s="22"/>
      <c r="P161" s="22"/>
      <c r="Q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H161" s="22"/>
      <c r="AI161" s="22"/>
      <c r="AJ161" s="22"/>
      <c r="AK161" s="22"/>
    </row>
    <row r="162" spans="1:37" ht="15.75" customHeight="1" x14ac:dyDescent="0.25">
      <c r="A162" s="22"/>
      <c r="B162" s="22"/>
      <c r="C162" s="22"/>
      <c r="D162" s="22"/>
      <c r="E162" s="22"/>
      <c r="H162" s="22"/>
      <c r="I162" s="22"/>
      <c r="J162" s="22"/>
      <c r="K162" s="22"/>
      <c r="N162" s="22"/>
      <c r="O162" s="22"/>
      <c r="P162" s="22"/>
      <c r="Q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H162" s="22"/>
      <c r="AI162" s="22"/>
      <c r="AJ162" s="22"/>
      <c r="AK162" s="22"/>
    </row>
    <row r="163" spans="1:37" ht="15.75" customHeight="1" x14ac:dyDescent="0.25">
      <c r="A163" s="22"/>
      <c r="B163" s="22"/>
      <c r="C163" s="22"/>
      <c r="D163" s="22"/>
      <c r="E163" s="22"/>
      <c r="H163" s="22"/>
      <c r="I163" s="22"/>
      <c r="J163" s="22"/>
      <c r="K163" s="22"/>
      <c r="N163" s="22"/>
      <c r="O163" s="22"/>
      <c r="P163" s="22"/>
      <c r="Q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H163" s="22"/>
      <c r="AI163" s="22"/>
      <c r="AJ163" s="22"/>
      <c r="AK163" s="22"/>
    </row>
    <row r="164" spans="1:37" ht="15.75" customHeight="1" x14ac:dyDescent="0.25">
      <c r="A164" s="22"/>
      <c r="B164" s="22"/>
      <c r="C164" s="22"/>
      <c r="D164" s="22"/>
      <c r="E164" s="22"/>
      <c r="H164" s="22"/>
      <c r="I164" s="22"/>
      <c r="J164" s="22"/>
      <c r="K164" s="22"/>
      <c r="N164" s="22"/>
      <c r="O164" s="22"/>
      <c r="P164" s="22"/>
      <c r="Q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H164" s="22"/>
      <c r="AI164" s="22"/>
      <c r="AJ164" s="22"/>
      <c r="AK164" s="22"/>
    </row>
    <row r="165" spans="1:37" ht="15.75" customHeight="1" x14ac:dyDescent="0.25">
      <c r="A165" s="22"/>
      <c r="B165" s="22"/>
      <c r="C165" s="22"/>
      <c r="D165" s="22"/>
      <c r="E165" s="22"/>
      <c r="H165" s="22"/>
      <c r="I165" s="22"/>
      <c r="J165" s="22"/>
      <c r="K165" s="22"/>
      <c r="N165" s="22"/>
      <c r="O165" s="22"/>
      <c r="P165" s="22"/>
      <c r="Q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H165" s="22"/>
      <c r="AI165" s="22"/>
      <c r="AJ165" s="22"/>
      <c r="AK165" s="22"/>
    </row>
    <row r="166" spans="1:37" ht="15.75" customHeight="1" x14ac:dyDescent="0.25">
      <c r="A166" s="22"/>
      <c r="B166" s="22"/>
      <c r="C166" s="22"/>
      <c r="D166" s="22"/>
      <c r="E166" s="22"/>
      <c r="H166" s="22"/>
      <c r="I166" s="22"/>
      <c r="J166" s="22"/>
      <c r="K166" s="22"/>
      <c r="N166" s="22"/>
      <c r="O166" s="22"/>
      <c r="P166" s="22"/>
      <c r="Q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H166" s="22"/>
      <c r="AI166" s="22"/>
      <c r="AJ166" s="22"/>
      <c r="AK166" s="22"/>
    </row>
    <row r="167" spans="1:37" ht="15.75" customHeight="1" x14ac:dyDescent="0.25">
      <c r="A167" s="22"/>
      <c r="B167" s="22"/>
      <c r="C167" s="22"/>
      <c r="D167" s="22"/>
      <c r="E167" s="22"/>
      <c r="H167" s="22"/>
      <c r="I167" s="22"/>
      <c r="J167" s="22"/>
      <c r="K167" s="22"/>
      <c r="N167" s="22"/>
      <c r="O167" s="22"/>
      <c r="P167" s="22"/>
      <c r="Q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H167" s="22"/>
      <c r="AI167" s="22"/>
      <c r="AJ167" s="22"/>
      <c r="AK167" s="22"/>
    </row>
    <row r="168" spans="1:37" ht="15.75" customHeight="1" x14ac:dyDescent="0.25">
      <c r="A168" s="22"/>
      <c r="B168" s="22"/>
      <c r="C168" s="22"/>
      <c r="D168" s="22"/>
      <c r="E168" s="22"/>
      <c r="H168" s="22"/>
      <c r="I168" s="22"/>
      <c r="J168" s="22"/>
      <c r="K168" s="22"/>
      <c r="N168" s="22"/>
      <c r="O168" s="22"/>
      <c r="P168" s="22"/>
      <c r="Q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H168" s="22"/>
      <c r="AI168" s="22"/>
      <c r="AJ168" s="22"/>
      <c r="AK168" s="22"/>
    </row>
    <row r="169" spans="1:37" ht="15.75" customHeight="1" x14ac:dyDescent="0.25">
      <c r="A169" s="22"/>
      <c r="B169" s="22"/>
      <c r="C169" s="22"/>
      <c r="D169" s="22"/>
      <c r="E169" s="22"/>
      <c r="H169" s="22"/>
      <c r="I169" s="22"/>
      <c r="J169" s="22"/>
      <c r="K169" s="22"/>
      <c r="N169" s="22"/>
      <c r="O169" s="22"/>
      <c r="P169" s="22"/>
      <c r="Q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H169" s="22"/>
      <c r="AI169" s="22"/>
      <c r="AJ169" s="22"/>
      <c r="AK169" s="22"/>
    </row>
    <row r="170" spans="1:37" ht="15.75" customHeight="1" x14ac:dyDescent="0.25">
      <c r="A170" s="22"/>
      <c r="B170" s="22"/>
      <c r="C170" s="22"/>
      <c r="D170" s="22"/>
      <c r="E170" s="22"/>
      <c r="H170" s="22"/>
      <c r="I170" s="22"/>
      <c r="J170" s="22"/>
      <c r="K170" s="22"/>
      <c r="N170" s="22"/>
      <c r="O170" s="22"/>
      <c r="P170" s="22"/>
      <c r="Q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H170" s="22"/>
      <c r="AI170" s="22"/>
      <c r="AJ170" s="22"/>
      <c r="AK170" s="22"/>
    </row>
    <row r="171" spans="1:37" ht="15.75" customHeight="1" x14ac:dyDescent="0.25">
      <c r="A171" s="22"/>
      <c r="B171" s="22"/>
      <c r="C171" s="22"/>
      <c r="D171" s="22"/>
      <c r="E171" s="22"/>
      <c r="H171" s="22"/>
      <c r="I171" s="22"/>
      <c r="J171" s="22"/>
      <c r="K171" s="22"/>
      <c r="N171" s="22"/>
      <c r="O171" s="22"/>
      <c r="P171" s="22"/>
      <c r="Q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H171" s="22"/>
      <c r="AI171" s="22"/>
      <c r="AJ171" s="22"/>
      <c r="AK171" s="22"/>
    </row>
    <row r="172" spans="1:37" ht="15.75" customHeight="1" x14ac:dyDescent="0.25">
      <c r="A172" s="22"/>
      <c r="B172" s="22"/>
      <c r="C172" s="22"/>
      <c r="D172" s="22"/>
      <c r="E172" s="22"/>
      <c r="H172" s="22"/>
      <c r="I172" s="22"/>
      <c r="J172" s="22"/>
      <c r="K172" s="22"/>
      <c r="N172" s="22"/>
      <c r="O172" s="22"/>
      <c r="P172" s="22"/>
      <c r="Q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H172" s="22"/>
      <c r="AI172" s="22"/>
      <c r="AJ172" s="22"/>
      <c r="AK172" s="22"/>
    </row>
    <row r="173" spans="1:37" ht="15.75" customHeight="1" x14ac:dyDescent="0.25">
      <c r="A173" s="22"/>
      <c r="B173" s="22"/>
      <c r="C173" s="22"/>
      <c r="D173" s="22"/>
      <c r="E173" s="22"/>
      <c r="H173" s="22"/>
      <c r="I173" s="22"/>
      <c r="J173" s="22"/>
      <c r="K173" s="22"/>
      <c r="N173" s="22"/>
      <c r="O173" s="22"/>
      <c r="P173" s="22"/>
      <c r="Q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H173" s="22"/>
      <c r="AI173" s="22"/>
      <c r="AJ173" s="22"/>
      <c r="AK173" s="22"/>
    </row>
    <row r="174" spans="1:37" ht="15.75" customHeight="1" x14ac:dyDescent="0.25">
      <c r="A174" s="22"/>
      <c r="B174" s="22"/>
      <c r="C174" s="22"/>
      <c r="D174" s="22"/>
      <c r="E174" s="22"/>
      <c r="H174" s="22"/>
      <c r="I174" s="22"/>
      <c r="J174" s="22"/>
      <c r="K174" s="22"/>
      <c r="N174" s="22"/>
      <c r="O174" s="22"/>
      <c r="P174" s="22"/>
      <c r="Q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H174" s="22"/>
      <c r="AI174" s="22"/>
      <c r="AJ174" s="22"/>
      <c r="AK174" s="22"/>
    </row>
    <row r="175" spans="1:37" ht="15.75" customHeight="1" x14ac:dyDescent="0.25">
      <c r="A175" s="22"/>
      <c r="B175" s="22"/>
      <c r="C175" s="22"/>
      <c r="D175" s="22"/>
      <c r="E175" s="22"/>
      <c r="H175" s="22"/>
      <c r="I175" s="22"/>
      <c r="J175" s="22"/>
      <c r="K175" s="22"/>
      <c r="N175" s="22"/>
      <c r="O175" s="22"/>
      <c r="P175" s="22"/>
      <c r="Q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H175" s="22"/>
      <c r="AI175" s="22"/>
      <c r="AJ175" s="22"/>
      <c r="AK175" s="22"/>
    </row>
    <row r="176" spans="1:37" ht="15.75" customHeight="1" x14ac:dyDescent="0.25">
      <c r="A176" s="22"/>
      <c r="B176" s="22"/>
      <c r="C176" s="22"/>
      <c r="D176" s="22"/>
      <c r="E176" s="22"/>
      <c r="H176" s="22"/>
      <c r="I176" s="22"/>
      <c r="J176" s="22"/>
      <c r="K176" s="22"/>
      <c r="N176" s="22"/>
      <c r="O176" s="22"/>
      <c r="P176" s="22"/>
      <c r="Q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H176" s="22"/>
      <c r="AI176" s="22"/>
      <c r="AJ176" s="22"/>
      <c r="AK176" s="22"/>
    </row>
    <row r="177" spans="1:37" ht="15.75" customHeight="1" x14ac:dyDescent="0.25">
      <c r="A177" s="22"/>
      <c r="B177" s="22"/>
      <c r="C177" s="22"/>
      <c r="D177" s="22"/>
      <c r="E177" s="22"/>
      <c r="H177" s="22"/>
      <c r="I177" s="22"/>
      <c r="J177" s="22"/>
      <c r="K177" s="22"/>
      <c r="N177" s="22"/>
      <c r="O177" s="22"/>
      <c r="P177" s="22"/>
      <c r="Q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H177" s="22"/>
      <c r="AI177" s="22"/>
      <c r="AJ177" s="22"/>
      <c r="AK177" s="22"/>
    </row>
    <row r="178" spans="1:37" ht="15.75" customHeight="1" x14ac:dyDescent="0.25">
      <c r="A178" s="22"/>
      <c r="B178" s="22"/>
      <c r="C178" s="22"/>
      <c r="D178" s="22"/>
      <c r="E178" s="22"/>
      <c r="H178" s="22"/>
      <c r="I178" s="22"/>
      <c r="J178" s="22"/>
      <c r="K178" s="22"/>
      <c r="N178" s="22"/>
      <c r="O178" s="22"/>
      <c r="P178" s="22"/>
      <c r="Q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H178" s="22"/>
      <c r="AI178" s="22"/>
      <c r="AJ178" s="22"/>
      <c r="AK178" s="22"/>
    </row>
    <row r="179" spans="1:37" ht="15.75" customHeight="1" x14ac:dyDescent="0.25">
      <c r="A179" s="22"/>
      <c r="B179" s="22"/>
      <c r="C179" s="22"/>
      <c r="D179" s="22"/>
      <c r="E179" s="22"/>
      <c r="H179" s="22"/>
      <c r="I179" s="22"/>
      <c r="J179" s="22"/>
      <c r="K179" s="22"/>
      <c r="N179" s="22"/>
      <c r="O179" s="22"/>
      <c r="P179" s="22"/>
      <c r="Q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H179" s="22"/>
      <c r="AI179" s="22"/>
      <c r="AJ179" s="22"/>
      <c r="AK179" s="22"/>
    </row>
    <row r="180" spans="1:37" ht="15.75" customHeight="1" x14ac:dyDescent="0.25">
      <c r="A180" s="22"/>
      <c r="B180" s="22"/>
      <c r="C180" s="22"/>
      <c r="D180" s="22"/>
      <c r="E180" s="22"/>
      <c r="H180" s="22"/>
      <c r="I180" s="22"/>
      <c r="J180" s="22"/>
      <c r="K180" s="22"/>
      <c r="N180" s="22"/>
      <c r="O180" s="22"/>
      <c r="P180" s="22"/>
      <c r="Q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H180" s="22"/>
      <c r="AI180" s="22"/>
      <c r="AJ180" s="22"/>
      <c r="AK180" s="22"/>
    </row>
    <row r="181" spans="1:37" ht="15.75" customHeight="1" x14ac:dyDescent="0.25">
      <c r="A181" s="22"/>
      <c r="B181" s="22"/>
      <c r="C181" s="22"/>
      <c r="D181" s="22"/>
      <c r="E181" s="22"/>
      <c r="H181" s="22"/>
      <c r="I181" s="22"/>
      <c r="J181" s="22"/>
      <c r="K181" s="22"/>
      <c r="N181" s="22"/>
      <c r="O181" s="22"/>
      <c r="P181" s="22"/>
      <c r="Q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H181" s="22"/>
      <c r="AI181" s="22"/>
      <c r="AJ181" s="22"/>
      <c r="AK181" s="22"/>
    </row>
    <row r="182" spans="1:37" ht="15.75" customHeight="1" x14ac:dyDescent="0.25">
      <c r="A182" s="22"/>
      <c r="B182" s="22"/>
      <c r="C182" s="22"/>
      <c r="D182" s="22"/>
      <c r="E182" s="22"/>
      <c r="H182" s="22"/>
      <c r="I182" s="22"/>
      <c r="J182" s="22"/>
      <c r="K182" s="22"/>
      <c r="N182" s="22"/>
      <c r="O182" s="22"/>
      <c r="P182" s="22"/>
      <c r="Q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H182" s="22"/>
      <c r="AI182" s="22"/>
      <c r="AJ182" s="22"/>
      <c r="AK182" s="22"/>
    </row>
    <row r="183" spans="1:37" ht="15.75" customHeight="1" x14ac:dyDescent="0.25">
      <c r="A183" s="22"/>
      <c r="B183" s="22"/>
      <c r="C183" s="22"/>
      <c r="D183" s="22"/>
      <c r="E183" s="22"/>
      <c r="H183" s="22"/>
      <c r="I183" s="22"/>
      <c r="J183" s="22"/>
      <c r="K183" s="22"/>
      <c r="N183" s="22"/>
      <c r="O183" s="22"/>
      <c r="P183" s="22"/>
      <c r="Q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H183" s="22"/>
      <c r="AI183" s="22"/>
      <c r="AJ183" s="22"/>
      <c r="AK183" s="22"/>
    </row>
    <row r="184" spans="1:37" ht="15.75" customHeight="1" x14ac:dyDescent="0.25">
      <c r="A184" s="22"/>
      <c r="B184" s="22"/>
      <c r="C184" s="22"/>
      <c r="D184" s="22"/>
      <c r="E184" s="22"/>
      <c r="H184" s="22"/>
      <c r="I184" s="22"/>
      <c r="J184" s="22"/>
      <c r="K184" s="22"/>
      <c r="N184" s="22"/>
      <c r="O184" s="22"/>
      <c r="P184" s="22"/>
      <c r="Q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H184" s="22"/>
      <c r="AI184" s="22"/>
      <c r="AJ184" s="22"/>
      <c r="AK184" s="22"/>
    </row>
    <row r="185" spans="1:37" ht="15.75" customHeight="1" x14ac:dyDescent="0.25">
      <c r="A185" s="22"/>
      <c r="B185" s="22"/>
      <c r="C185" s="22"/>
      <c r="D185" s="22"/>
      <c r="E185" s="22"/>
      <c r="H185" s="22"/>
      <c r="I185" s="22"/>
      <c r="J185" s="22"/>
      <c r="K185" s="22"/>
      <c r="N185" s="22"/>
      <c r="O185" s="22"/>
      <c r="P185" s="22"/>
      <c r="Q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H185" s="22"/>
      <c r="AI185" s="22"/>
      <c r="AJ185" s="22"/>
      <c r="AK185" s="22"/>
    </row>
    <row r="186" spans="1:37" ht="15.75" customHeight="1" x14ac:dyDescent="0.25">
      <c r="A186" s="22"/>
      <c r="B186" s="22"/>
      <c r="C186" s="22"/>
      <c r="D186" s="22"/>
      <c r="E186" s="22"/>
      <c r="H186" s="22"/>
      <c r="I186" s="22"/>
      <c r="J186" s="22"/>
      <c r="K186" s="22"/>
      <c r="N186" s="22"/>
      <c r="O186" s="22"/>
      <c r="P186" s="22"/>
      <c r="Q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H186" s="22"/>
      <c r="AI186" s="22"/>
      <c r="AJ186" s="22"/>
      <c r="AK186" s="22"/>
    </row>
    <row r="187" spans="1:37" ht="15.75" customHeight="1" x14ac:dyDescent="0.25">
      <c r="A187" s="22"/>
      <c r="B187" s="22"/>
      <c r="C187" s="22"/>
      <c r="D187" s="22"/>
      <c r="E187" s="22"/>
      <c r="H187" s="22"/>
      <c r="I187" s="22"/>
      <c r="J187" s="22"/>
      <c r="K187" s="22"/>
      <c r="N187" s="22"/>
      <c r="O187" s="22"/>
      <c r="P187" s="22"/>
      <c r="Q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H187" s="22"/>
      <c r="AI187" s="22"/>
      <c r="AJ187" s="22"/>
      <c r="AK187" s="22"/>
    </row>
    <row r="188" spans="1:37" ht="15.75" customHeight="1" x14ac:dyDescent="0.25">
      <c r="A188" s="22"/>
      <c r="B188" s="22"/>
      <c r="C188" s="22"/>
      <c r="D188" s="22"/>
      <c r="E188" s="22"/>
      <c r="H188" s="22"/>
      <c r="I188" s="22"/>
      <c r="J188" s="22"/>
      <c r="K188" s="22"/>
      <c r="N188" s="22"/>
      <c r="O188" s="22"/>
      <c r="P188" s="22"/>
      <c r="Q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H188" s="22"/>
      <c r="AI188" s="22"/>
      <c r="AJ188" s="22"/>
      <c r="AK188" s="22"/>
    </row>
    <row r="189" spans="1:37" ht="15.75" customHeight="1" x14ac:dyDescent="0.25">
      <c r="A189" s="22"/>
      <c r="B189" s="22"/>
      <c r="C189" s="22"/>
      <c r="D189" s="22"/>
      <c r="E189" s="22"/>
      <c r="H189" s="22"/>
      <c r="I189" s="22"/>
      <c r="J189" s="22"/>
      <c r="K189" s="22"/>
      <c r="N189" s="22"/>
      <c r="O189" s="22"/>
      <c r="P189" s="22"/>
      <c r="Q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H189" s="22"/>
      <c r="AI189" s="22"/>
      <c r="AJ189" s="22"/>
      <c r="AK189" s="22"/>
    </row>
    <row r="190" spans="1:37" ht="15.75" customHeight="1" x14ac:dyDescent="0.25">
      <c r="A190" s="22"/>
      <c r="B190" s="22"/>
      <c r="C190" s="22"/>
      <c r="D190" s="22"/>
      <c r="E190" s="22"/>
      <c r="H190" s="22"/>
      <c r="I190" s="22"/>
      <c r="J190" s="22"/>
      <c r="K190" s="22"/>
      <c r="N190" s="22"/>
      <c r="O190" s="22"/>
      <c r="P190" s="22"/>
      <c r="Q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H190" s="22"/>
      <c r="AI190" s="22"/>
      <c r="AJ190" s="22"/>
      <c r="AK190" s="22"/>
    </row>
    <row r="191" spans="1:37" ht="15.75" customHeight="1" x14ac:dyDescent="0.25">
      <c r="A191" s="22"/>
      <c r="B191" s="22"/>
      <c r="C191" s="22"/>
      <c r="D191" s="22"/>
      <c r="E191" s="22"/>
      <c r="H191" s="22"/>
      <c r="I191" s="22"/>
      <c r="J191" s="22"/>
      <c r="K191" s="22"/>
      <c r="N191" s="22"/>
      <c r="O191" s="22"/>
      <c r="P191" s="22"/>
      <c r="Q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H191" s="22"/>
      <c r="AI191" s="22"/>
      <c r="AJ191" s="22"/>
      <c r="AK191" s="22"/>
    </row>
    <row r="192" spans="1:37" ht="15.75" customHeight="1" x14ac:dyDescent="0.25">
      <c r="A192" s="22"/>
      <c r="B192" s="22"/>
      <c r="C192" s="22"/>
      <c r="D192" s="22"/>
      <c r="E192" s="22"/>
      <c r="H192" s="22"/>
      <c r="I192" s="22"/>
      <c r="J192" s="22"/>
      <c r="K192" s="22"/>
      <c r="N192" s="22"/>
      <c r="O192" s="22"/>
      <c r="P192" s="22"/>
      <c r="Q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H192" s="22"/>
      <c r="AI192" s="22"/>
      <c r="AJ192" s="22"/>
      <c r="AK192" s="22"/>
    </row>
    <row r="193" spans="1:37" ht="15.75" customHeight="1" x14ac:dyDescent="0.25">
      <c r="A193" s="22"/>
      <c r="B193" s="22"/>
      <c r="C193" s="22"/>
      <c r="D193" s="22"/>
      <c r="E193" s="22"/>
      <c r="H193" s="22"/>
      <c r="I193" s="22"/>
      <c r="J193" s="22"/>
      <c r="K193" s="22"/>
      <c r="N193" s="22"/>
      <c r="O193" s="22"/>
      <c r="P193" s="22"/>
      <c r="Q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H193" s="22"/>
      <c r="AI193" s="22"/>
      <c r="AJ193" s="22"/>
      <c r="AK193" s="22"/>
    </row>
    <row r="194" spans="1:37" ht="15.75" customHeight="1" x14ac:dyDescent="0.25">
      <c r="A194" s="22"/>
      <c r="B194" s="22"/>
      <c r="C194" s="22"/>
      <c r="D194" s="22"/>
      <c r="E194" s="22"/>
      <c r="H194" s="22"/>
      <c r="I194" s="22"/>
      <c r="J194" s="22"/>
      <c r="K194" s="22"/>
      <c r="N194" s="22"/>
      <c r="O194" s="22"/>
      <c r="P194" s="22"/>
      <c r="Q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H194" s="22"/>
      <c r="AI194" s="22"/>
      <c r="AJ194" s="22"/>
      <c r="AK194" s="22"/>
    </row>
    <row r="195" spans="1:37" ht="15.75" customHeight="1" x14ac:dyDescent="0.25">
      <c r="A195" s="22"/>
      <c r="B195" s="22"/>
      <c r="C195" s="22"/>
      <c r="D195" s="22"/>
      <c r="E195" s="22"/>
      <c r="H195" s="22"/>
      <c r="I195" s="22"/>
      <c r="J195" s="22"/>
      <c r="K195" s="22"/>
      <c r="N195" s="22"/>
      <c r="O195" s="22"/>
      <c r="P195" s="22"/>
      <c r="Q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H195" s="22"/>
      <c r="AI195" s="22"/>
      <c r="AJ195" s="22"/>
      <c r="AK195" s="22"/>
    </row>
    <row r="196" spans="1:37" ht="15.75" customHeight="1" x14ac:dyDescent="0.25">
      <c r="A196" s="22"/>
      <c r="B196" s="22"/>
      <c r="C196" s="22"/>
      <c r="D196" s="22"/>
      <c r="E196" s="22"/>
      <c r="H196" s="22"/>
      <c r="I196" s="22"/>
      <c r="J196" s="22"/>
      <c r="K196" s="22"/>
      <c r="N196" s="22"/>
      <c r="O196" s="22"/>
      <c r="P196" s="22"/>
      <c r="Q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H196" s="22"/>
      <c r="AI196" s="22"/>
      <c r="AJ196" s="22"/>
      <c r="AK196" s="22"/>
    </row>
    <row r="197" spans="1:37" ht="15.75" customHeight="1" x14ac:dyDescent="0.25">
      <c r="A197" s="22"/>
      <c r="B197" s="22"/>
      <c r="C197" s="22"/>
      <c r="D197" s="22"/>
      <c r="E197" s="22"/>
      <c r="H197" s="22"/>
      <c r="I197" s="22"/>
      <c r="J197" s="22"/>
      <c r="K197" s="22"/>
      <c r="N197" s="22"/>
      <c r="O197" s="22"/>
      <c r="P197" s="22"/>
      <c r="Q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H197" s="22"/>
      <c r="AI197" s="22"/>
      <c r="AJ197" s="22"/>
      <c r="AK197" s="22"/>
    </row>
    <row r="198" spans="1:37" ht="15.75" customHeight="1" x14ac:dyDescent="0.25">
      <c r="A198" s="22"/>
      <c r="B198" s="22"/>
      <c r="C198" s="22"/>
      <c r="D198" s="22"/>
      <c r="E198" s="22"/>
      <c r="H198" s="22"/>
      <c r="I198" s="22"/>
      <c r="J198" s="22"/>
      <c r="K198" s="22"/>
      <c r="N198" s="22"/>
      <c r="O198" s="22"/>
      <c r="P198" s="22"/>
      <c r="Q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H198" s="22"/>
      <c r="AI198" s="22"/>
      <c r="AJ198" s="22"/>
      <c r="AK198" s="22"/>
    </row>
    <row r="199" spans="1:37" ht="15.75" customHeight="1" x14ac:dyDescent="0.25">
      <c r="A199" s="22"/>
      <c r="B199" s="22"/>
      <c r="C199" s="22"/>
      <c r="D199" s="22"/>
      <c r="E199" s="22"/>
      <c r="H199" s="22"/>
      <c r="I199" s="22"/>
      <c r="J199" s="22"/>
      <c r="K199" s="22"/>
      <c r="N199" s="22"/>
      <c r="O199" s="22"/>
      <c r="P199" s="22"/>
      <c r="Q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H199" s="22"/>
      <c r="AI199" s="22"/>
      <c r="AJ199" s="22"/>
      <c r="AK199" s="22"/>
    </row>
    <row r="200" spans="1:37" ht="15.75" customHeight="1" x14ac:dyDescent="0.25">
      <c r="A200" s="22"/>
      <c r="B200" s="22"/>
      <c r="C200" s="22"/>
      <c r="D200" s="22"/>
      <c r="E200" s="22"/>
      <c r="H200" s="22"/>
      <c r="I200" s="22"/>
      <c r="J200" s="22"/>
      <c r="K200" s="22"/>
      <c r="N200" s="22"/>
      <c r="O200" s="22"/>
      <c r="P200" s="22"/>
      <c r="Q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H200" s="22"/>
      <c r="AI200" s="22"/>
      <c r="AJ200" s="22"/>
      <c r="AK200" s="22"/>
    </row>
    <row r="201" spans="1:37" ht="15.75" customHeight="1" x14ac:dyDescent="0.25">
      <c r="A201" s="22"/>
      <c r="B201" s="22"/>
      <c r="C201" s="22"/>
      <c r="D201" s="22"/>
      <c r="E201" s="22"/>
      <c r="H201" s="22"/>
      <c r="I201" s="22"/>
      <c r="J201" s="22"/>
      <c r="K201" s="22"/>
      <c r="N201" s="22"/>
      <c r="O201" s="22"/>
      <c r="P201" s="22"/>
      <c r="Q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H201" s="22"/>
      <c r="AI201" s="22"/>
      <c r="AJ201" s="22"/>
      <c r="AK201" s="22"/>
    </row>
    <row r="202" spans="1:37" ht="15.75" customHeight="1" x14ac:dyDescent="0.25">
      <c r="A202" s="22"/>
      <c r="B202" s="22"/>
      <c r="C202" s="22"/>
      <c r="D202" s="22"/>
      <c r="E202" s="22"/>
      <c r="H202" s="22"/>
      <c r="I202" s="22"/>
      <c r="J202" s="22"/>
      <c r="K202" s="22"/>
      <c r="N202" s="22"/>
      <c r="O202" s="22"/>
      <c r="P202" s="22"/>
      <c r="Q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H202" s="22"/>
      <c r="AI202" s="22"/>
      <c r="AJ202" s="22"/>
      <c r="AK202" s="22"/>
    </row>
    <row r="203" spans="1:37" ht="15.75" customHeight="1" x14ac:dyDescent="0.25">
      <c r="A203" s="22"/>
      <c r="B203" s="22"/>
      <c r="C203" s="22"/>
      <c r="D203" s="22"/>
      <c r="E203" s="22"/>
      <c r="H203" s="22"/>
      <c r="I203" s="22"/>
      <c r="J203" s="22"/>
      <c r="K203" s="22"/>
      <c r="N203" s="22"/>
      <c r="O203" s="22"/>
      <c r="P203" s="22"/>
      <c r="Q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H203" s="22"/>
      <c r="AI203" s="22"/>
      <c r="AJ203" s="22"/>
      <c r="AK203" s="22"/>
    </row>
    <row r="204" spans="1:37" ht="15.75" customHeight="1" x14ac:dyDescent="0.25">
      <c r="A204" s="22"/>
      <c r="B204" s="22"/>
      <c r="C204" s="22"/>
      <c r="D204" s="22"/>
      <c r="E204" s="22"/>
      <c r="H204" s="22"/>
      <c r="I204" s="22"/>
      <c r="J204" s="22"/>
      <c r="K204" s="22"/>
      <c r="N204" s="22"/>
      <c r="O204" s="22"/>
      <c r="P204" s="22"/>
      <c r="Q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H204" s="22"/>
      <c r="AI204" s="22"/>
      <c r="AJ204" s="22"/>
      <c r="AK204" s="22"/>
    </row>
    <row r="205" spans="1:37" ht="15.75" customHeight="1" x14ac:dyDescent="0.25">
      <c r="A205" s="22"/>
      <c r="B205" s="22"/>
      <c r="C205" s="22"/>
      <c r="D205" s="22"/>
      <c r="E205" s="22"/>
      <c r="H205" s="22"/>
      <c r="I205" s="22"/>
      <c r="J205" s="22"/>
      <c r="K205" s="22"/>
      <c r="N205" s="22"/>
      <c r="O205" s="22"/>
      <c r="P205" s="22"/>
      <c r="Q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H205" s="22"/>
      <c r="AI205" s="22"/>
      <c r="AJ205" s="22"/>
      <c r="AK205" s="22"/>
    </row>
    <row r="206" spans="1:37" ht="15.75" customHeight="1" x14ac:dyDescent="0.25">
      <c r="A206" s="22"/>
      <c r="B206" s="22"/>
      <c r="C206" s="22"/>
      <c r="D206" s="22"/>
      <c r="E206" s="22"/>
      <c r="H206" s="22"/>
      <c r="I206" s="22"/>
      <c r="J206" s="22"/>
      <c r="K206" s="22"/>
      <c r="N206" s="22"/>
      <c r="O206" s="22"/>
      <c r="P206" s="22"/>
      <c r="Q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H206" s="22"/>
      <c r="AI206" s="22"/>
      <c r="AJ206" s="22"/>
      <c r="AK206" s="22"/>
    </row>
    <row r="207" spans="1:37" ht="15.75" customHeight="1" x14ac:dyDescent="0.25">
      <c r="A207" s="22"/>
      <c r="B207" s="22"/>
      <c r="C207" s="22"/>
      <c r="D207" s="22"/>
      <c r="E207" s="22"/>
      <c r="H207" s="22"/>
      <c r="I207" s="22"/>
      <c r="J207" s="22"/>
      <c r="K207" s="22"/>
      <c r="N207" s="22"/>
      <c r="O207" s="22"/>
      <c r="P207" s="22"/>
      <c r="Q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H207" s="22"/>
      <c r="AI207" s="22"/>
      <c r="AJ207" s="22"/>
      <c r="AK207" s="22"/>
    </row>
    <row r="208" spans="1:37" ht="15.75" customHeight="1" x14ac:dyDescent="0.25">
      <c r="A208" s="22"/>
      <c r="B208" s="22"/>
      <c r="C208" s="22"/>
      <c r="D208" s="22"/>
      <c r="E208" s="22"/>
      <c r="H208" s="22"/>
      <c r="I208" s="22"/>
      <c r="J208" s="22"/>
      <c r="K208" s="22"/>
      <c r="N208" s="22"/>
      <c r="O208" s="22"/>
      <c r="P208" s="22"/>
      <c r="Q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H208" s="22"/>
      <c r="AI208" s="22"/>
      <c r="AJ208" s="22"/>
      <c r="AK208" s="22"/>
    </row>
    <row r="209" spans="1:37" ht="15.75" customHeight="1" x14ac:dyDescent="0.25">
      <c r="A209" s="22"/>
      <c r="B209" s="22"/>
      <c r="C209" s="22"/>
      <c r="D209" s="22"/>
      <c r="E209" s="22"/>
      <c r="H209" s="22"/>
      <c r="I209" s="22"/>
      <c r="J209" s="22"/>
      <c r="K209" s="22"/>
      <c r="N209" s="22"/>
      <c r="O209" s="22"/>
      <c r="P209" s="22"/>
      <c r="Q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H209" s="22"/>
      <c r="AI209" s="22"/>
      <c r="AJ209" s="22"/>
      <c r="AK209" s="22"/>
    </row>
    <row r="210" spans="1:37" ht="15.75" customHeight="1" x14ac:dyDescent="0.25">
      <c r="A210" s="22"/>
      <c r="B210" s="22"/>
      <c r="C210" s="22"/>
      <c r="D210" s="22"/>
      <c r="E210" s="22"/>
      <c r="H210" s="22"/>
      <c r="I210" s="22"/>
      <c r="J210" s="22"/>
      <c r="K210" s="22"/>
      <c r="N210" s="22"/>
      <c r="O210" s="22"/>
      <c r="P210" s="22"/>
      <c r="Q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H210" s="22"/>
      <c r="AI210" s="22"/>
      <c r="AJ210" s="22"/>
      <c r="AK210" s="22"/>
    </row>
    <row r="211" spans="1:37" ht="15.75" customHeight="1" x14ac:dyDescent="0.25">
      <c r="A211" s="22"/>
      <c r="B211" s="22"/>
      <c r="C211" s="22"/>
      <c r="D211" s="22"/>
      <c r="E211" s="22"/>
      <c r="H211" s="22"/>
      <c r="I211" s="22"/>
      <c r="J211" s="22"/>
      <c r="K211" s="22"/>
      <c r="N211" s="22"/>
      <c r="O211" s="22"/>
      <c r="P211" s="22"/>
      <c r="Q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H211" s="22"/>
      <c r="AI211" s="22"/>
      <c r="AJ211" s="22"/>
      <c r="AK211" s="22"/>
    </row>
    <row r="212" spans="1:37" ht="15.75" customHeight="1" x14ac:dyDescent="0.25">
      <c r="A212" s="22"/>
      <c r="B212" s="22"/>
      <c r="C212" s="22"/>
      <c r="D212" s="22"/>
      <c r="E212" s="22"/>
      <c r="H212" s="22"/>
      <c r="I212" s="22"/>
      <c r="J212" s="22"/>
      <c r="K212" s="22"/>
      <c r="N212" s="22"/>
      <c r="O212" s="22"/>
      <c r="P212" s="22"/>
      <c r="Q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H212" s="22"/>
      <c r="AI212" s="22"/>
      <c r="AJ212" s="22"/>
      <c r="AK212" s="22"/>
    </row>
    <row r="213" spans="1:37" ht="15.75" customHeight="1" x14ac:dyDescent="0.25">
      <c r="A213" s="22"/>
      <c r="B213" s="22"/>
      <c r="C213" s="22"/>
      <c r="D213" s="22"/>
      <c r="E213" s="22"/>
      <c r="H213" s="22"/>
      <c r="I213" s="22"/>
      <c r="J213" s="22"/>
      <c r="K213" s="22"/>
      <c r="N213" s="22"/>
      <c r="O213" s="22"/>
      <c r="P213" s="22"/>
      <c r="Q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H213" s="22"/>
      <c r="AI213" s="22"/>
      <c r="AJ213" s="22"/>
      <c r="AK213" s="22"/>
    </row>
    <row r="214" spans="1:37" ht="15.75" customHeight="1" x14ac:dyDescent="0.25">
      <c r="A214" s="22"/>
      <c r="B214" s="22"/>
      <c r="C214" s="22"/>
      <c r="D214" s="22"/>
      <c r="E214" s="22"/>
      <c r="H214" s="22"/>
      <c r="I214" s="22"/>
      <c r="J214" s="22"/>
      <c r="K214" s="22"/>
      <c r="N214" s="22"/>
      <c r="O214" s="22"/>
      <c r="P214" s="22"/>
      <c r="Q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H214" s="22"/>
      <c r="AI214" s="22"/>
      <c r="AJ214" s="22"/>
      <c r="AK214" s="22"/>
    </row>
    <row r="215" spans="1:37" ht="15.75" customHeight="1" x14ac:dyDescent="0.25">
      <c r="A215" s="22"/>
      <c r="B215" s="22"/>
      <c r="C215" s="22"/>
      <c r="D215" s="22"/>
      <c r="E215" s="22"/>
      <c r="H215" s="22"/>
      <c r="I215" s="22"/>
      <c r="J215" s="22"/>
      <c r="K215" s="22"/>
      <c r="N215" s="22"/>
      <c r="O215" s="22"/>
      <c r="P215" s="22"/>
      <c r="Q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H215" s="22"/>
      <c r="AI215" s="22"/>
      <c r="AJ215" s="22"/>
      <c r="AK215" s="22"/>
    </row>
    <row r="216" spans="1:37" ht="15.75" customHeight="1" x14ac:dyDescent="0.25">
      <c r="A216" s="22"/>
      <c r="B216" s="22"/>
      <c r="C216" s="22"/>
      <c r="D216" s="22"/>
      <c r="E216" s="22"/>
      <c r="H216" s="22"/>
      <c r="I216" s="22"/>
      <c r="J216" s="22"/>
      <c r="K216" s="22"/>
      <c r="N216" s="22"/>
      <c r="O216" s="22"/>
      <c r="P216" s="22"/>
      <c r="Q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H216" s="22"/>
      <c r="AI216" s="22"/>
      <c r="AJ216" s="22"/>
      <c r="AK216" s="22"/>
    </row>
    <row r="217" spans="1:37" ht="15.75" customHeight="1" x14ac:dyDescent="0.25">
      <c r="A217" s="22"/>
      <c r="B217" s="22"/>
      <c r="C217" s="22"/>
      <c r="D217" s="22"/>
      <c r="E217" s="22"/>
      <c r="H217" s="22"/>
      <c r="I217" s="22"/>
      <c r="J217" s="22"/>
      <c r="K217" s="22"/>
      <c r="N217" s="22"/>
      <c r="O217" s="22"/>
      <c r="P217" s="22"/>
      <c r="Q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H217" s="22"/>
      <c r="AI217" s="22"/>
      <c r="AJ217" s="22"/>
      <c r="AK217" s="22"/>
    </row>
    <row r="218" spans="1:37" ht="15.75" customHeight="1" x14ac:dyDescent="0.25">
      <c r="A218" s="22"/>
      <c r="B218" s="22"/>
      <c r="C218" s="22"/>
      <c r="D218" s="22"/>
      <c r="E218" s="22"/>
      <c r="H218" s="22"/>
      <c r="I218" s="22"/>
      <c r="J218" s="22"/>
      <c r="K218" s="22"/>
      <c r="N218" s="22"/>
      <c r="O218" s="22"/>
      <c r="P218" s="22"/>
      <c r="Q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H218" s="22"/>
      <c r="AI218" s="22"/>
      <c r="AJ218" s="22"/>
      <c r="AK218" s="22"/>
    </row>
    <row r="219" spans="1:37" ht="15.75" customHeight="1" x14ac:dyDescent="0.25">
      <c r="A219" s="22"/>
      <c r="B219" s="22"/>
      <c r="C219" s="22"/>
      <c r="D219" s="22"/>
      <c r="E219" s="22"/>
      <c r="H219" s="22"/>
      <c r="I219" s="22"/>
      <c r="J219" s="22"/>
      <c r="K219" s="22"/>
      <c r="N219" s="22"/>
      <c r="O219" s="22"/>
      <c r="P219" s="22"/>
      <c r="Q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H219" s="22"/>
      <c r="AI219" s="22"/>
      <c r="AJ219" s="22"/>
      <c r="AK219" s="22"/>
    </row>
    <row r="220" spans="1:37" ht="15.75" customHeight="1" x14ac:dyDescent="0.25">
      <c r="A220" s="22"/>
      <c r="B220" s="22"/>
      <c r="C220" s="22"/>
      <c r="D220" s="22"/>
      <c r="E220" s="22"/>
      <c r="H220" s="22"/>
      <c r="I220" s="22"/>
      <c r="J220" s="22"/>
      <c r="K220" s="22"/>
      <c r="N220" s="22"/>
      <c r="O220" s="22"/>
      <c r="P220" s="22"/>
      <c r="Q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H220" s="22"/>
      <c r="AI220" s="22"/>
      <c r="AJ220" s="22"/>
      <c r="AK220" s="22"/>
    </row>
    <row r="221" spans="1:37" ht="15.75" customHeight="1" x14ac:dyDescent="0.25">
      <c r="A221" s="22"/>
      <c r="B221" s="22"/>
      <c r="C221" s="22"/>
      <c r="D221" s="22"/>
      <c r="E221" s="22"/>
      <c r="H221" s="22"/>
      <c r="I221" s="22"/>
      <c r="J221" s="22"/>
      <c r="K221" s="22"/>
      <c r="N221" s="22"/>
      <c r="O221" s="22"/>
      <c r="P221" s="22"/>
      <c r="Q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H221" s="22"/>
      <c r="AI221" s="22"/>
      <c r="AJ221" s="22"/>
      <c r="AK221" s="22"/>
    </row>
    <row r="222" spans="1:37" ht="15.75" customHeight="1" x14ac:dyDescent="0.25">
      <c r="A222" s="22"/>
      <c r="B222" s="22"/>
      <c r="C222" s="22"/>
      <c r="D222" s="22"/>
      <c r="E222" s="22"/>
      <c r="H222" s="22"/>
      <c r="I222" s="22"/>
      <c r="J222" s="22"/>
      <c r="K222" s="22"/>
      <c r="N222" s="22"/>
      <c r="O222" s="22"/>
      <c r="P222" s="22"/>
      <c r="Q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H222" s="22"/>
      <c r="AI222" s="22"/>
      <c r="AJ222" s="22"/>
      <c r="AK222" s="22"/>
    </row>
    <row r="223" spans="1:37" ht="15.75" customHeight="1" x14ac:dyDescent="0.25">
      <c r="A223" s="22"/>
      <c r="B223" s="22"/>
      <c r="C223" s="22"/>
      <c r="D223" s="22"/>
      <c r="E223" s="22"/>
      <c r="H223" s="22"/>
      <c r="I223" s="22"/>
      <c r="J223" s="22"/>
      <c r="K223" s="22"/>
      <c r="N223" s="22"/>
      <c r="O223" s="22"/>
      <c r="P223" s="22"/>
      <c r="Q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H223" s="22"/>
      <c r="AI223" s="22"/>
      <c r="AJ223" s="22"/>
      <c r="AK223" s="22"/>
    </row>
    <row r="224" spans="1:37" ht="15.75" customHeight="1" x14ac:dyDescent="0.25">
      <c r="A224" s="22"/>
      <c r="B224" s="22"/>
      <c r="C224" s="22"/>
      <c r="D224" s="22"/>
      <c r="E224" s="22"/>
      <c r="H224" s="22"/>
      <c r="I224" s="22"/>
      <c r="J224" s="22"/>
      <c r="K224" s="22"/>
      <c r="N224" s="22"/>
      <c r="O224" s="22"/>
      <c r="P224" s="22"/>
      <c r="Q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H224" s="22"/>
      <c r="AI224" s="22"/>
      <c r="AJ224" s="22"/>
      <c r="AK224" s="22"/>
    </row>
    <row r="225" spans="1:37" ht="15.75" customHeight="1" x14ac:dyDescent="0.25">
      <c r="A225" s="22"/>
      <c r="B225" s="22"/>
      <c r="C225" s="22"/>
      <c r="D225" s="22"/>
      <c r="E225" s="22"/>
      <c r="H225" s="22"/>
      <c r="I225" s="22"/>
      <c r="J225" s="22"/>
      <c r="K225" s="22"/>
      <c r="N225" s="22"/>
      <c r="O225" s="22"/>
      <c r="P225" s="22"/>
      <c r="Q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H225" s="22"/>
      <c r="AI225" s="22"/>
      <c r="AJ225" s="22"/>
      <c r="AK225" s="22"/>
    </row>
    <row r="226" spans="1:37" ht="15.75" customHeight="1" x14ac:dyDescent="0.25">
      <c r="A226" s="22"/>
      <c r="B226" s="22"/>
      <c r="C226" s="22"/>
      <c r="D226" s="22"/>
      <c r="E226" s="22"/>
      <c r="H226" s="22"/>
      <c r="I226" s="22"/>
      <c r="J226" s="22"/>
      <c r="K226" s="22"/>
      <c r="N226" s="22"/>
      <c r="O226" s="22"/>
      <c r="P226" s="22"/>
      <c r="Q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H226" s="22"/>
      <c r="AI226" s="22"/>
      <c r="AJ226" s="22"/>
      <c r="AK226" s="22"/>
    </row>
    <row r="227" spans="1:37" ht="15.75" customHeight="1" x14ac:dyDescent="0.25">
      <c r="A227" s="22"/>
      <c r="B227" s="22"/>
      <c r="C227" s="22"/>
      <c r="D227" s="22"/>
      <c r="E227" s="22"/>
      <c r="H227" s="22"/>
      <c r="I227" s="22"/>
      <c r="J227" s="22"/>
      <c r="K227" s="22"/>
      <c r="N227" s="22"/>
      <c r="O227" s="22"/>
      <c r="P227" s="22"/>
      <c r="Q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H227" s="22"/>
      <c r="AI227" s="22"/>
      <c r="AJ227" s="22"/>
      <c r="AK227" s="22"/>
    </row>
    <row r="228" spans="1:37" ht="15.75" customHeight="1" x14ac:dyDescent="0.25">
      <c r="A228" s="22"/>
      <c r="B228" s="22"/>
      <c r="C228" s="22"/>
      <c r="D228" s="22"/>
      <c r="E228" s="22"/>
      <c r="H228" s="22"/>
      <c r="I228" s="22"/>
      <c r="J228" s="22"/>
      <c r="K228" s="22"/>
      <c r="N228" s="22"/>
      <c r="O228" s="22"/>
      <c r="P228" s="22"/>
      <c r="Q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H228" s="22"/>
      <c r="AI228" s="22"/>
      <c r="AJ228" s="22"/>
      <c r="AK228" s="22"/>
    </row>
    <row r="229" spans="1:37" ht="15.75" customHeight="1" x14ac:dyDescent="0.25">
      <c r="A229" s="22"/>
      <c r="B229" s="22"/>
      <c r="C229" s="22"/>
      <c r="D229" s="22"/>
      <c r="E229" s="22"/>
      <c r="H229" s="22"/>
      <c r="I229" s="22"/>
      <c r="J229" s="22"/>
      <c r="K229" s="22"/>
      <c r="N229" s="22"/>
      <c r="O229" s="22"/>
      <c r="P229" s="22"/>
      <c r="Q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H229" s="22"/>
      <c r="AI229" s="22"/>
      <c r="AJ229" s="22"/>
      <c r="AK229" s="22"/>
    </row>
    <row r="230" spans="1:37" ht="15.75" customHeight="1" x14ac:dyDescent="0.25">
      <c r="A230" s="22"/>
      <c r="B230" s="22"/>
      <c r="C230" s="22"/>
      <c r="D230" s="22"/>
      <c r="E230" s="22"/>
      <c r="H230" s="22"/>
      <c r="I230" s="22"/>
      <c r="J230" s="22"/>
      <c r="K230" s="22"/>
      <c r="N230" s="22"/>
      <c r="O230" s="22"/>
      <c r="P230" s="22"/>
      <c r="Q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H230" s="22"/>
      <c r="AI230" s="22"/>
      <c r="AJ230" s="22"/>
      <c r="AK230" s="22"/>
    </row>
    <row r="231" spans="1:37" ht="15.75" customHeight="1" x14ac:dyDescent="0.25">
      <c r="A231" s="22"/>
      <c r="B231" s="22"/>
      <c r="C231" s="22"/>
      <c r="D231" s="22"/>
      <c r="E231" s="22"/>
      <c r="H231" s="22"/>
      <c r="I231" s="22"/>
      <c r="J231" s="22"/>
      <c r="K231" s="22"/>
      <c r="N231" s="22"/>
      <c r="O231" s="22"/>
      <c r="P231" s="22"/>
      <c r="Q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H231" s="22"/>
      <c r="AI231" s="22"/>
      <c r="AJ231" s="22"/>
      <c r="AK231" s="22"/>
    </row>
    <row r="232" spans="1:37" ht="15.75" customHeight="1" x14ac:dyDescent="0.25">
      <c r="A232" s="22"/>
      <c r="B232" s="22"/>
      <c r="C232" s="22"/>
      <c r="D232" s="22"/>
      <c r="E232" s="22"/>
      <c r="H232" s="22"/>
      <c r="I232" s="22"/>
      <c r="J232" s="22"/>
      <c r="K232" s="22"/>
      <c r="N232" s="22"/>
      <c r="O232" s="22"/>
      <c r="P232" s="22"/>
      <c r="Q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H232" s="22"/>
      <c r="AI232" s="22"/>
      <c r="AJ232" s="22"/>
      <c r="AK232" s="22"/>
    </row>
    <row r="233" spans="1:37" ht="15.75" customHeight="1" x14ac:dyDescent="0.25">
      <c r="A233" s="22"/>
      <c r="B233" s="22"/>
      <c r="C233" s="22"/>
      <c r="D233" s="22"/>
      <c r="E233" s="22"/>
      <c r="H233" s="22"/>
      <c r="I233" s="22"/>
      <c r="J233" s="22"/>
      <c r="K233" s="22"/>
      <c r="N233" s="22"/>
      <c r="O233" s="22"/>
      <c r="P233" s="22"/>
      <c r="Q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H233" s="22"/>
      <c r="AI233" s="22"/>
      <c r="AJ233" s="22"/>
      <c r="AK233" s="22"/>
    </row>
    <row r="234" spans="1:37" ht="15.75" customHeight="1" x14ac:dyDescent="0.25">
      <c r="A234" s="22"/>
      <c r="B234" s="22"/>
      <c r="C234" s="22"/>
      <c r="D234" s="22"/>
      <c r="E234" s="22"/>
      <c r="H234" s="22"/>
      <c r="I234" s="22"/>
      <c r="J234" s="22"/>
      <c r="K234" s="22"/>
      <c r="N234" s="22"/>
      <c r="O234" s="22"/>
      <c r="P234" s="22"/>
      <c r="Q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H234" s="22"/>
      <c r="AI234" s="22"/>
      <c r="AJ234" s="22"/>
      <c r="AK234" s="22"/>
    </row>
    <row r="235" spans="1:37" ht="15.75" customHeight="1" x14ac:dyDescent="0.25">
      <c r="A235" s="22"/>
      <c r="B235" s="22"/>
      <c r="C235" s="22"/>
      <c r="D235" s="22"/>
      <c r="E235" s="22"/>
      <c r="H235" s="22"/>
      <c r="I235" s="22"/>
      <c r="J235" s="22"/>
      <c r="K235" s="22"/>
      <c r="N235" s="22"/>
      <c r="O235" s="22"/>
      <c r="P235" s="22"/>
      <c r="Q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H235" s="22"/>
      <c r="AI235" s="22"/>
      <c r="AJ235" s="22"/>
      <c r="AK235" s="22"/>
    </row>
    <row r="236" spans="1:37" ht="15.75" customHeight="1" x14ac:dyDescent="0.25">
      <c r="A236" s="22"/>
      <c r="B236" s="22"/>
      <c r="C236" s="22"/>
      <c r="D236" s="22"/>
      <c r="E236" s="22"/>
      <c r="H236" s="22"/>
      <c r="I236" s="22"/>
      <c r="J236" s="22"/>
      <c r="K236" s="22"/>
      <c r="N236" s="22"/>
      <c r="O236" s="22"/>
      <c r="P236" s="22"/>
      <c r="Q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H236" s="22"/>
      <c r="AI236" s="22"/>
      <c r="AJ236" s="22"/>
      <c r="AK236" s="22"/>
    </row>
    <row r="237" spans="1:37" ht="15.75" customHeight="1" x14ac:dyDescent="0.25">
      <c r="A237" s="22"/>
      <c r="B237" s="22"/>
      <c r="C237" s="22"/>
      <c r="D237" s="22"/>
      <c r="E237" s="22"/>
      <c r="H237" s="22"/>
      <c r="I237" s="22"/>
      <c r="J237" s="22"/>
      <c r="K237" s="22"/>
      <c r="N237" s="22"/>
      <c r="O237" s="22"/>
      <c r="P237" s="22"/>
      <c r="Q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H237" s="22"/>
      <c r="AI237" s="22"/>
      <c r="AJ237" s="22"/>
      <c r="AK237" s="22"/>
    </row>
    <row r="238" spans="1:37" ht="15.75" customHeight="1" x14ac:dyDescent="0.25">
      <c r="A238" s="22"/>
      <c r="B238" s="22"/>
      <c r="C238" s="22"/>
      <c r="D238" s="22"/>
      <c r="E238" s="22"/>
      <c r="H238" s="22"/>
      <c r="I238" s="22"/>
      <c r="J238" s="22"/>
      <c r="K238" s="22"/>
      <c r="N238" s="22"/>
      <c r="O238" s="22"/>
      <c r="P238" s="22"/>
      <c r="Q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H238" s="22"/>
      <c r="AI238" s="22"/>
      <c r="AJ238" s="22"/>
      <c r="AK238" s="22"/>
    </row>
    <row r="239" spans="1:37" ht="15.75" customHeight="1" x14ac:dyDescent="0.25">
      <c r="A239" s="22"/>
      <c r="B239" s="22"/>
      <c r="C239" s="22"/>
      <c r="D239" s="22"/>
      <c r="E239" s="22"/>
      <c r="H239" s="22"/>
      <c r="I239" s="22"/>
      <c r="J239" s="22"/>
      <c r="K239" s="22"/>
      <c r="N239" s="22"/>
      <c r="O239" s="22"/>
      <c r="P239" s="22"/>
      <c r="Q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H239" s="22"/>
      <c r="AI239" s="22"/>
      <c r="AJ239" s="22"/>
      <c r="AK239" s="22"/>
    </row>
    <row r="240" spans="1:37" ht="15.75" customHeight="1" x14ac:dyDescent="0.25">
      <c r="A240" s="22"/>
      <c r="B240" s="22"/>
      <c r="C240" s="22"/>
      <c r="D240" s="22"/>
      <c r="E240" s="22"/>
      <c r="H240" s="22"/>
      <c r="I240" s="22"/>
      <c r="J240" s="22"/>
      <c r="K240" s="22"/>
      <c r="N240" s="22"/>
      <c r="O240" s="22"/>
      <c r="P240" s="22"/>
      <c r="Q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H240" s="22"/>
      <c r="AI240" s="22"/>
      <c r="AJ240" s="22"/>
      <c r="AK240" s="22"/>
    </row>
    <row r="241" spans="1:37" ht="15.75" customHeight="1" x14ac:dyDescent="0.25">
      <c r="A241" s="22"/>
      <c r="B241" s="22"/>
      <c r="C241" s="22"/>
      <c r="D241" s="22"/>
      <c r="E241" s="22"/>
      <c r="H241" s="22"/>
      <c r="I241" s="22"/>
      <c r="J241" s="22"/>
      <c r="K241" s="22"/>
      <c r="N241" s="22"/>
      <c r="O241" s="22"/>
      <c r="P241" s="22"/>
      <c r="Q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H241" s="22"/>
      <c r="AI241" s="22"/>
      <c r="AJ241" s="22"/>
      <c r="AK241" s="22"/>
    </row>
    <row r="242" spans="1:37" ht="15.75" customHeight="1" x14ac:dyDescent="0.25">
      <c r="A242" s="22"/>
      <c r="B242" s="22"/>
      <c r="C242" s="22"/>
      <c r="D242" s="22"/>
      <c r="E242" s="22"/>
      <c r="H242" s="22"/>
      <c r="I242" s="22"/>
      <c r="J242" s="22"/>
      <c r="K242" s="22"/>
      <c r="N242" s="22"/>
      <c r="O242" s="22"/>
      <c r="P242" s="22"/>
      <c r="Q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H242" s="22"/>
      <c r="AI242" s="22"/>
      <c r="AJ242" s="22"/>
      <c r="AK242" s="22"/>
    </row>
    <row r="243" spans="1:37" ht="15.75" customHeight="1" x14ac:dyDescent="0.25">
      <c r="A243" s="22"/>
      <c r="B243" s="22"/>
      <c r="C243" s="22"/>
      <c r="D243" s="22"/>
      <c r="E243" s="22"/>
      <c r="H243" s="22"/>
      <c r="I243" s="22"/>
      <c r="J243" s="22"/>
      <c r="K243" s="22"/>
      <c r="N243" s="22"/>
      <c r="O243" s="22"/>
      <c r="P243" s="22"/>
      <c r="Q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H243" s="22"/>
      <c r="AI243" s="22"/>
      <c r="AJ243" s="22"/>
      <c r="AK243" s="22"/>
    </row>
    <row r="244" spans="1:37" ht="15.75" customHeight="1" x14ac:dyDescent="0.25">
      <c r="A244" s="22"/>
      <c r="B244" s="22"/>
      <c r="C244" s="22"/>
      <c r="D244" s="22"/>
      <c r="E244" s="22"/>
      <c r="H244" s="22"/>
      <c r="I244" s="22"/>
      <c r="J244" s="22"/>
      <c r="K244" s="22"/>
      <c r="N244" s="22"/>
      <c r="O244" s="22"/>
      <c r="P244" s="22"/>
      <c r="Q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H244" s="22"/>
      <c r="AI244" s="22"/>
      <c r="AJ244" s="22"/>
      <c r="AK244" s="22"/>
    </row>
    <row r="245" spans="1:37" ht="15.75" customHeight="1" x14ac:dyDescent="0.25">
      <c r="A245" s="22"/>
      <c r="B245" s="22"/>
      <c r="C245" s="22"/>
      <c r="D245" s="22"/>
      <c r="E245" s="22"/>
      <c r="H245" s="22"/>
      <c r="I245" s="22"/>
      <c r="J245" s="22"/>
      <c r="K245" s="22"/>
      <c r="N245" s="22"/>
      <c r="O245" s="22"/>
      <c r="P245" s="22"/>
      <c r="Q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H245" s="22"/>
      <c r="AI245" s="22"/>
      <c r="AJ245" s="22"/>
      <c r="AK245" s="22"/>
    </row>
    <row r="246" spans="1:37" ht="15.75" customHeight="1" x14ac:dyDescent="0.25">
      <c r="A246" s="22"/>
      <c r="B246" s="22"/>
      <c r="C246" s="22"/>
      <c r="D246" s="22"/>
      <c r="E246" s="22"/>
      <c r="H246" s="22"/>
      <c r="I246" s="22"/>
      <c r="J246" s="22"/>
      <c r="K246" s="22"/>
      <c r="N246" s="22"/>
      <c r="O246" s="22"/>
      <c r="P246" s="22"/>
      <c r="Q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H246" s="22"/>
      <c r="AI246" s="22"/>
      <c r="AJ246" s="22"/>
      <c r="AK246" s="22"/>
    </row>
    <row r="247" spans="1:37" ht="15.75" customHeight="1" x14ac:dyDescent="0.25">
      <c r="A247" s="22"/>
      <c r="B247" s="22"/>
      <c r="C247" s="22"/>
      <c r="D247" s="22"/>
      <c r="E247" s="22"/>
      <c r="H247" s="22"/>
      <c r="I247" s="22"/>
      <c r="J247" s="22"/>
      <c r="K247" s="22"/>
      <c r="N247" s="22"/>
      <c r="O247" s="22"/>
      <c r="P247" s="22"/>
      <c r="Q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H247" s="22"/>
      <c r="AI247" s="22"/>
      <c r="AJ247" s="22"/>
      <c r="AK247" s="22"/>
    </row>
    <row r="248" spans="1:37" ht="15.75" customHeight="1" x14ac:dyDescent="0.25">
      <c r="A248" s="22"/>
      <c r="B248" s="22"/>
      <c r="C248" s="22"/>
      <c r="D248" s="22"/>
      <c r="E248" s="22"/>
      <c r="H248" s="22"/>
      <c r="I248" s="22"/>
      <c r="J248" s="22"/>
      <c r="K248" s="22"/>
      <c r="N248" s="22"/>
      <c r="O248" s="22"/>
      <c r="P248" s="22"/>
      <c r="Q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H248" s="22"/>
      <c r="AI248" s="22"/>
      <c r="AJ248" s="22"/>
      <c r="AK248" s="22"/>
    </row>
    <row r="249" spans="1:37" ht="15.75" customHeight="1" x14ac:dyDescent="0.25">
      <c r="A249" s="22"/>
      <c r="B249" s="22"/>
      <c r="C249" s="22"/>
      <c r="D249" s="22"/>
      <c r="E249" s="22"/>
      <c r="H249" s="22"/>
      <c r="I249" s="22"/>
      <c r="J249" s="22"/>
      <c r="K249" s="22"/>
      <c r="N249" s="22"/>
      <c r="O249" s="22"/>
      <c r="P249" s="22"/>
      <c r="Q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H249" s="22"/>
      <c r="AI249" s="22"/>
      <c r="AJ249" s="22"/>
      <c r="AK249" s="22"/>
    </row>
    <row r="250" spans="1:37" ht="15.75" customHeight="1" x14ac:dyDescent="0.25">
      <c r="A250" s="22"/>
      <c r="B250" s="22"/>
      <c r="C250" s="22"/>
      <c r="D250" s="22"/>
      <c r="E250" s="22"/>
      <c r="H250" s="22"/>
      <c r="I250" s="22"/>
      <c r="J250" s="22"/>
      <c r="K250" s="22"/>
      <c r="N250" s="22"/>
      <c r="O250" s="22"/>
      <c r="P250" s="22"/>
      <c r="Q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H250" s="22"/>
      <c r="AI250" s="22"/>
      <c r="AJ250" s="22"/>
      <c r="AK250" s="22"/>
    </row>
    <row r="251" spans="1:37" ht="15.75" customHeight="1" x14ac:dyDescent="0.25">
      <c r="A251" s="22"/>
      <c r="B251" s="22"/>
      <c r="C251" s="22"/>
      <c r="D251" s="22"/>
      <c r="E251" s="22"/>
      <c r="H251" s="22"/>
      <c r="I251" s="22"/>
      <c r="J251" s="22"/>
      <c r="K251" s="22"/>
      <c r="N251" s="22"/>
      <c r="O251" s="22"/>
      <c r="P251" s="22"/>
      <c r="Q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H251" s="22"/>
      <c r="AI251" s="22"/>
      <c r="AJ251" s="22"/>
      <c r="AK251" s="22"/>
    </row>
    <row r="252" spans="1:37" ht="15.75" customHeight="1" x14ac:dyDescent="0.25">
      <c r="A252" s="22"/>
      <c r="B252" s="22"/>
      <c r="C252" s="22"/>
      <c r="D252" s="22"/>
      <c r="E252" s="22"/>
      <c r="H252" s="22"/>
      <c r="I252" s="22"/>
      <c r="J252" s="22"/>
      <c r="K252" s="22"/>
      <c r="N252" s="22"/>
      <c r="O252" s="22"/>
      <c r="P252" s="22"/>
      <c r="Q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H252" s="22"/>
      <c r="AI252" s="22"/>
      <c r="AJ252" s="22"/>
      <c r="AK252" s="22"/>
    </row>
    <row r="253" spans="1:37" ht="15.75" customHeight="1" x14ac:dyDescent="0.25">
      <c r="A253" s="22"/>
      <c r="B253" s="22"/>
      <c r="C253" s="22"/>
      <c r="D253" s="22"/>
      <c r="E253" s="22"/>
      <c r="H253" s="22"/>
      <c r="I253" s="22"/>
      <c r="J253" s="22"/>
      <c r="K253" s="22"/>
      <c r="N253" s="22"/>
      <c r="O253" s="22"/>
      <c r="P253" s="22"/>
      <c r="Q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H253" s="22"/>
      <c r="AI253" s="22"/>
      <c r="AJ253" s="22"/>
      <c r="AK253" s="22"/>
    </row>
    <row r="254" spans="1:37" ht="15.75" customHeight="1" x14ac:dyDescent="0.25">
      <c r="A254" s="22"/>
      <c r="B254" s="22"/>
      <c r="C254" s="22"/>
      <c r="D254" s="22"/>
      <c r="E254" s="22"/>
      <c r="H254" s="22"/>
      <c r="I254" s="22"/>
      <c r="J254" s="22"/>
      <c r="K254" s="22"/>
      <c r="N254" s="22"/>
      <c r="O254" s="22"/>
      <c r="P254" s="22"/>
      <c r="Q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H254" s="22"/>
      <c r="AI254" s="22"/>
      <c r="AJ254" s="22"/>
      <c r="AK254" s="22"/>
    </row>
    <row r="255" spans="1:37" ht="15.75" customHeight="1" x14ac:dyDescent="0.25">
      <c r="A255" s="22"/>
      <c r="B255" s="22"/>
      <c r="C255" s="22"/>
      <c r="D255" s="22"/>
      <c r="E255" s="22"/>
      <c r="H255" s="22"/>
      <c r="I255" s="22"/>
      <c r="J255" s="22"/>
      <c r="K255" s="22"/>
      <c r="N255" s="22"/>
      <c r="O255" s="22"/>
      <c r="P255" s="22"/>
      <c r="Q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H255" s="22"/>
      <c r="AI255" s="22"/>
      <c r="AJ255" s="22"/>
      <c r="AK255" s="22"/>
    </row>
    <row r="256" spans="1:37" ht="15.75" customHeight="1" x14ac:dyDescent="0.25">
      <c r="A256" s="22"/>
      <c r="B256" s="22"/>
      <c r="C256" s="22"/>
      <c r="D256" s="22"/>
      <c r="E256" s="22"/>
      <c r="H256" s="22"/>
      <c r="I256" s="22"/>
      <c r="J256" s="22"/>
      <c r="K256" s="22"/>
      <c r="N256" s="22"/>
      <c r="O256" s="22"/>
      <c r="P256" s="22"/>
      <c r="Q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H256" s="22"/>
      <c r="AI256" s="22"/>
      <c r="AJ256" s="22"/>
      <c r="AK256" s="22"/>
    </row>
    <row r="257" spans="1:37" ht="15.75" customHeight="1" x14ac:dyDescent="0.25">
      <c r="A257" s="22"/>
      <c r="B257" s="22"/>
      <c r="C257" s="22"/>
      <c r="D257" s="22"/>
      <c r="E257" s="22"/>
      <c r="H257" s="22"/>
      <c r="I257" s="22"/>
      <c r="J257" s="22"/>
      <c r="K257" s="22"/>
      <c r="N257" s="22"/>
      <c r="O257" s="22"/>
      <c r="P257" s="22"/>
      <c r="Q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H257" s="22"/>
      <c r="AI257" s="22"/>
      <c r="AJ257" s="22"/>
      <c r="AK257" s="22"/>
    </row>
    <row r="258" spans="1:37" ht="15.75" customHeight="1" x14ac:dyDescent="0.25">
      <c r="A258" s="22"/>
      <c r="B258" s="22"/>
      <c r="C258" s="22"/>
      <c r="D258" s="22"/>
      <c r="E258" s="22"/>
      <c r="H258" s="22"/>
      <c r="I258" s="22"/>
      <c r="J258" s="22"/>
      <c r="K258" s="22"/>
      <c r="N258" s="22"/>
      <c r="O258" s="22"/>
      <c r="P258" s="22"/>
      <c r="Q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H258" s="22"/>
      <c r="AI258" s="22"/>
      <c r="AJ258" s="22"/>
      <c r="AK258" s="22"/>
    </row>
    <row r="259" spans="1:37" ht="15.75" customHeight="1" x14ac:dyDescent="0.25">
      <c r="A259" s="22"/>
      <c r="B259" s="22"/>
      <c r="C259" s="22"/>
      <c r="D259" s="22"/>
      <c r="E259" s="22"/>
      <c r="H259" s="22"/>
      <c r="I259" s="22"/>
      <c r="J259" s="22"/>
      <c r="K259" s="22"/>
      <c r="N259" s="22"/>
      <c r="O259" s="22"/>
      <c r="P259" s="22"/>
      <c r="Q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H259" s="22"/>
      <c r="AI259" s="22"/>
      <c r="AJ259" s="22"/>
      <c r="AK259" s="22"/>
    </row>
    <row r="260" spans="1:37" ht="15.75" customHeight="1" x14ac:dyDescent="0.25">
      <c r="A260" s="22"/>
      <c r="B260" s="22"/>
      <c r="C260" s="22"/>
      <c r="D260" s="22"/>
      <c r="E260" s="22"/>
      <c r="H260" s="22"/>
      <c r="I260" s="22"/>
      <c r="J260" s="22"/>
      <c r="K260" s="22"/>
      <c r="N260" s="22"/>
      <c r="O260" s="22"/>
      <c r="P260" s="22"/>
      <c r="Q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H260" s="22"/>
      <c r="AI260" s="22"/>
      <c r="AJ260" s="22"/>
      <c r="AK260" s="22"/>
    </row>
    <row r="261" spans="1:37" ht="15.75" customHeight="1" x14ac:dyDescent="0.25">
      <c r="A261" s="22"/>
      <c r="B261" s="22"/>
      <c r="C261" s="22"/>
      <c r="D261" s="22"/>
      <c r="E261" s="22"/>
      <c r="H261" s="22"/>
      <c r="I261" s="22"/>
      <c r="J261" s="22"/>
      <c r="K261" s="22"/>
      <c r="N261" s="22"/>
      <c r="O261" s="22"/>
      <c r="P261" s="22"/>
      <c r="Q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H261" s="22"/>
      <c r="AI261" s="22"/>
      <c r="AJ261" s="22"/>
      <c r="AK261" s="22"/>
    </row>
    <row r="262" spans="1:37" ht="15.75" customHeight="1" x14ac:dyDescent="0.25">
      <c r="A262" s="22"/>
      <c r="B262" s="22"/>
      <c r="C262" s="22"/>
      <c r="D262" s="22"/>
      <c r="E262" s="22"/>
      <c r="H262" s="22"/>
      <c r="I262" s="22"/>
      <c r="J262" s="22"/>
      <c r="K262" s="22"/>
      <c r="N262" s="22"/>
      <c r="O262" s="22"/>
      <c r="P262" s="22"/>
      <c r="Q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H262" s="22"/>
      <c r="AI262" s="22"/>
      <c r="AJ262" s="22"/>
      <c r="AK262" s="22"/>
    </row>
    <row r="263" spans="1:37" ht="15.75" customHeight="1" x14ac:dyDescent="0.25">
      <c r="A263" s="22"/>
      <c r="B263" s="22"/>
      <c r="C263" s="22"/>
      <c r="D263" s="22"/>
      <c r="E263" s="22"/>
      <c r="H263" s="22"/>
      <c r="I263" s="22"/>
      <c r="J263" s="22"/>
      <c r="K263" s="22"/>
      <c r="N263" s="22"/>
      <c r="O263" s="22"/>
      <c r="P263" s="22"/>
      <c r="Q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H263" s="22"/>
      <c r="AI263" s="22"/>
      <c r="AJ263" s="22"/>
      <c r="AK263" s="22"/>
    </row>
    <row r="264" spans="1:37" ht="15.75" customHeight="1" x14ac:dyDescent="0.25">
      <c r="A264" s="22"/>
      <c r="B264" s="22"/>
      <c r="C264" s="22"/>
      <c r="D264" s="22"/>
      <c r="E264" s="22"/>
      <c r="H264" s="22"/>
      <c r="I264" s="22"/>
      <c r="J264" s="22"/>
      <c r="K264" s="22"/>
      <c r="N264" s="22"/>
      <c r="O264" s="22"/>
      <c r="P264" s="22"/>
      <c r="Q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H264" s="22"/>
      <c r="AI264" s="22"/>
      <c r="AJ264" s="22"/>
      <c r="AK264" s="22"/>
    </row>
    <row r="265" spans="1:37" ht="15.75" customHeight="1" x14ac:dyDescent="0.25">
      <c r="A265" s="22"/>
      <c r="B265" s="22"/>
      <c r="C265" s="22"/>
      <c r="D265" s="22"/>
      <c r="E265" s="22"/>
      <c r="H265" s="22"/>
      <c r="I265" s="22"/>
      <c r="J265" s="22"/>
      <c r="K265" s="22"/>
      <c r="N265" s="22"/>
      <c r="O265" s="22"/>
      <c r="P265" s="22"/>
      <c r="Q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H265" s="22"/>
      <c r="AI265" s="22"/>
      <c r="AJ265" s="22"/>
      <c r="AK265" s="22"/>
    </row>
    <row r="266" spans="1:37" ht="15.75" customHeight="1" x14ac:dyDescent="0.25">
      <c r="A266" s="22"/>
      <c r="B266" s="22"/>
      <c r="C266" s="22"/>
      <c r="D266" s="22"/>
      <c r="E266" s="22"/>
      <c r="H266" s="22"/>
      <c r="I266" s="22"/>
      <c r="J266" s="22"/>
      <c r="K266" s="22"/>
      <c r="N266" s="22"/>
      <c r="O266" s="22"/>
      <c r="P266" s="22"/>
      <c r="Q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H266" s="22"/>
      <c r="AI266" s="22"/>
      <c r="AJ266" s="22"/>
      <c r="AK266" s="22"/>
    </row>
    <row r="267" spans="1:37" ht="15.75" customHeight="1" x14ac:dyDescent="0.25">
      <c r="A267" s="22"/>
      <c r="B267" s="22"/>
      <c r="C267" s="22"/>
      <c r="D267" s="22"/>
      <c r="E267" s="22"/>
      <c r="H267" s="22"/>
      <c r="I267" s="22"/>
      <c r="J267" s="22"/>
      <c r="K267" s="22"/>
      <c r="N267" s="22"/>
      <c r="O267" s="22"/>
      <c r="P267" s="22"/>
      <c r="Q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H267" s="22"/>
      <c r="AI267" s="22"/>
      <c r="AJ267" s="22"/>
      <c r="AK267" s="22"/>
    </row>
    <row r="268" spans="1:37" ht="15.75" customHeight="1" x14ac:dyDescent="0.25">
      <c r="A268" s="22"/>
      <c r="B268" s="22"/>
      <c r="C268" s="22"/>
      <c r="D268" s="22"/>
      <c r="E268" s="22"/>
      <c r="H268" s="22"/>
      <c r="I268" s="22"/>
      <c r="J268" s="22"/>
      <c r="K268" s="22"/>
      <c r="N268" s="22"/>
      <c r="O268" s="22"/>
      <c r="P268" s="22"/>
      <c r="Q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H268" s="22"/>
      <c r="AI268" s="22"/>
      <c r="AJ268" s="22"/>
      <c r="AK268" s="22"/>
    </row>
    <row r="269" spans="1:37" ht="15.75" customHeight="1" x14ac:dyDescent="0.25">
      <c r="A269" s="22"/>
      <c r="B269" s="22"/>
      <c r="C269" s="22"/>
      <c r="D269" s="22"/>
      <c r="E269" s="22"/>
      <c r="H269" s="22"/>
      <c r="I269" s="22"/>
      <c r="J269" s="22"/>
      <c r="K269" s="22"/>
      <c r="N269" s="22"/>
      <c r="O269" s="22"/>
      <c r="P269" s="22"/>
      <c r="Q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H269" s="22"/>
      <c r="AI269" s="22"/>
      <c r="AJ269" s="22"/>
      <c r="AK269" s="22"/>
    </row>
    <row r="270" spans="1:37" ht="15.75" customHeight="1" x14ac:dyDescent="0.25">
      <c r="A270" s="22"/>
      <c r="B270" s="22"/>
      <c r="C270" s="22"/>
      <c r="D270" s="22"/>
      <c r="E270" s="22"/>
      <c r="H270" s="22"/>
      <c r="I270" s="22"/>
      <c r="J270" s="22"/>
      <c r="K270" s="22"/>
      <c r="N270" s="22"/>
      <c r="O270" s="22"/>
      <c r="P270" s="22"/>
      <c r="Q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H270" s="22"/>
      <c r="AI270" s="22"/>
      <c r="AJ270" s="22"/>
      <c r="AK270" s="22"/>
    </row>
    <row r="271" spans="1:37" ht="15.75" customHeight="1" x14ac:dyDescent="0.25">
      <c r="A271" s="22"/>
      <c r="B271" s="22"/>
      <c r="C271" s="22"/>
      <c r="D271" s="22"/>
      <c r="E271" s="22"/>
      <c r="H271" s="22"/>
      <c r="I271" s="22"/>
      <c r="J271" s="22"/>
      <c r="K271" s="22"/>
      <c r="N271" s="22"/>
      <c r="O271" s="22"/>
      <c r="P271" s="22"/>
      <c r="Q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H271" s="22"/>
      <c r="AI271" s="22"/>
      <c r="AJ271" s="22"/>
      <c r="AK271" s="22"/>
    </row>
    <row r="272" spans="1:37" ht="15.75" customHeight="1" x14ac:dyDescent="0.25">
      <c r="A272" s="22"/>
      <c r="B272" s="22"/>
      <c r="C272" s="22"/>
      <c r="D272" s="22"/>
      <c r="E272" s="22"/>
      <c r="H272" s="22"/>
      <c r="I272" s="22"/>
      <c r="J272" s="22"/>
      <c r="K272" s="22"/>
      <c r="N272" s="22"/>
      <c r="O272" s="22"/>
      <c r="P272" s="22"/>
      <c r="Q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H272" s="22"/>
      <c r="AI272" s="22"/>
      <c r="AJ272" s="22"/>
      <c r="AK272" s="22"/>
    </row>
    <row r="273" spans="1:37" ht="15.75" customHeight="1" x14ac:dyDescent="0.25">
      <c r="A273" s="22"/>
      <c r="B273" s="22"/>
      <c r="C273" s="22"/>
      <c r="D273" s="22"/>
      <c r="E273" s="22"/>
      <c r="H273" s="22"/>
      <c r="I273" s="22"/>
      <c r="J273" s="22"/>
      <c r="K273" s="22"/>
      <c r="N273" s="22"/>
      <c r="O273" s="22"/>
      <c r="P273" s="22"/>
      <c r="Q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H273" s="22"/>
      <c r="AI273" s="22"/>
      <c r="AJ273" s="22"/>
      <c r="AK273" s="22"/>
    </row>
    <row r="274" spans="1:37" ht="15.75" customHeight="1" x14ac:dyDescent="0.25">
      <c r="A274" s="22"/>
      <c r="B274" s="22"/>
      <c r="C274" s="22"/>
      <c r="D274" s="22"/>
      <c r="E274" s="22"/>
      <c r="H274" s="22"/>
      <c r="I274" s="22"/>
      <c r="J274" s="22"/>
      <c r="K274" s="22"/>
      <c r="N274" s="22"/>
      <c r="O274" s="22"/>
      <c r="P274" s="22"/>
      <c r="Q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H274" s="22"/>
      <c r="AI274" s="22"/>
      <c r="AJ274" s="22"/>
      <c r="AK274" s="22"/>
    </row>
    <row r="275" spans="1:37" ht="15.75" customHeight="1" x14ac:dyDescent="0.25">
      <c r="A275" s="22"/>
      <c r="B275" s="22"/>
      <c r="C275" s="22"/>
      <c r="D275" s="22"/>
      <c r="E275" s="22"/>
      <c r="H275" s="22"/>
      <c r="I275" s="22"/>
      <c r="J275" s="22"/>
      <c r="K275" s="22"/>
      <c r="N275" s="22"/>
      <c r="O275" s="22"/>
      <c r="P275" s="22"/>
      <c r="Q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H275" s="22"/>
      <c r="AI275" s="22"/>
      <c r="AJ275" s="22"/>
      <c r="AK275" s="22"/>
    </row>
    <row r="276" spans="1:37" ht="15.75" customHeight="1" x14ac:dyDescent="0.25">
      <c r="A276" s="22"/>
      <c r="B276" s="22"/>
      <c r="C276" s="22"/>
      <c r="D276" s="22"/>
      <c r="E276" s="22"/>
      <c r="H276" s="22"/>
      <c r="I276" s="22"/>
      <c r="J276" s="22"/>
      <c r="K276" s="22"/>
      <c r="N276" s="22"/>
      <c r="O276" s="22"/>
      <c r="P276" s="22"/>
      <c r="Q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H276" s="22"/>
      <c r="AI276" s="22"/>
      <c r="AJ276" s="22"/>
      <c r="AK276" s="22"/>
    </row>
    <row r="277" spans="1:37" ht="15.75" customHeight="1" x14ac:dyDescent="0.25">
      <c r="A277" s="22"/>
      <c r="B277" s="22"/>
      <c r="C277" s="22"/>
      <c r="D277" s="22"/>
      <c r="E277" s="22"/>
      <c r="H277" s="22"/>
      <c r="I277" s="22"/>
      <c r="J277" s="22"/>
      <c r="K277" s="22"/>
      <c r="N277" s="22"/>
      <c r="O277" s="22"/>
      <c r="P277" s="22"/>
      <c r="Q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H277" s="22"/>
      <c r="AI277" s="22"/>
      <c r="AJ277" s="22"/>
      <c r="AK277" s="22"/>
    </row>
    <row r="278" spans="1:37" ht="15.75" customHeight="1" x14ac:dyDescent="0.25">
      <c r="A278" s="22"/>
      <c r="B278" s="22"/>
      <c r="C278" s="22"/>
      <c r="D278" s="22"/>
      <c r="E278" s="22"/>
      <c r="H278" s="22"/>
      <c r="I278" s="22"/>
      <c r="J278" s="22"/>
      <c r="K278" s="22"/>
      <c r="N278" s="22"/>
      <c r="O278" s="22"/>
      <c r="P278" s="22"/>
      <c r="Q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H278" s="22"/>
      <c r="AI278" s="22"/>
      <c r="AJ278" s="22"/>
      <c r="AK278" s="22"/>
    </row>
    <row r="279" spans="1:37" ht="15.75" customHeight="1" x14ac:dyDescent="0.25">
      <c r="A279" s="22"/>
      <c r="B279" s="22"/>
      <c r="C279" s="22"/>
      <c r="D279" s="22"/>
      <c r="E279" s="22"/>
      <c r="H279" s="22"/>
      <c r="I279" s="22"/>
      <c r="J279" s="22"/>
      <c r="K279" s="22"/>
      <c r="N279" s="22"/>
      <c r="O279" s="22"/>
      <c r="P279" s="22"/>
      <c r="Q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H279" s="22"/>
      <c r="AI279" s="22"/>
      <c r="AJ279" s="22"/>
      <c r="AK279" s="22"/>
    </row>
    <row r="280" spans="1:37" ht="15.75" customHeight="1" x14ac:dyDescent="0.25">
      <c r="A280" s="22"/>
      <c r="B280" s="22"/>
      <c r="C280" s="22"/>
      <c r="D280" s="22"/>
      <c r="E280" s="22"/>
      <c r="H280" s="22"/>
      <c r="I280" s="22"/>
      <c r="J280" s="22"/>
      <c r="K280" s="22"/>
      <c r="N280" s="22"/>
      <c r="O280" s="22"/>
      <c r="P280" s="22"/>
      <c r="Q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H280" s="22"/>
      <c r="AI280" s="22"/>
      <c r="AJ280" s="22"/>
      <c r="AK280" s="22"/>
    </row>
    <row r="281" spans="1:37" ht="15.75" customHeight="1" x14ac:dyDescent="0.25">
      <c r="A281" s="22"/>
      <c r="B281" s="22"/>
      <c r="C281" s="22"/>
      <c r="D281" s="22"/>
      <c r="E281" s="22"/>
      <c r="H281" s="22"/>
      <c r="I281" s="22"/>
      <c r="J281" s="22"/>
      <c r="K281" s="22"/>
      <c r="N281" s="22"/>
      <c r="O281" s="22"/>
      <c r="P281" s="22"/>
      <c r="Q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H281" s="22"/>
      <c r="AI281" s="22"/>
      <c r="AJ281" s="22"/>
      <c r="AK281" s="22"/>
    </row>
    <row r="282" spans="1:37" ht="15.75" customHeight="1" x14ac:dyDescent="0.25">
      <c r="A282" s="22"/>
      <c r="B282" s="22"/>
      <c r="C282" s="22"/>
      <c r="D282" s="22"/>
      <c r="E282" s="22"/>
      <c r="H282" s="22"/>
      <c r="I282" s="22"/>
      <c r="J282" s="22"/>
      <c r="K282" s="22"/>
      <c r="N282" s="22"/>
      <c r="O282" s="22"/>
      <c r="P282" s="22"/>
      <c r="Q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H282" s="22"/>
      <c r="AI282" s="22"/>
      <c r="AJ282" s="22"/>
      <c r="AK282" s="22"/>
    </row>
    <row r="283" spans="1:37" ht="15.75" customHeight="1" x14ac:dyDescent="0.25">
      <c r="A283" s="22"/>
      <c r="B283" s="22"/>
      <c r="C283" s="22"/>
      <c r="D283" s="22"/>
      <c r="E283" s="22"/>
      <c r="H283" s="22"/>
      <c r="I283" s="22"/>
      <c r="J283" s="22"/>
      <c r="K283" s="22"/>
      <c r="N283" s="22"/>
      <c r="O283" s="22"/>
      <c r="P283" s="22"/>
      <c r="Q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H283" s="22"/>
      <c r="AI283" s="22"/>
      <c r="AJ283" s="22"/>
      <c r="AK283" s="22"/>
    </row>
    <row r="284" spans="1:37" ht="15.75" customHeight="1" x14ac:dyDescent="0.25">
      <c r="A284" s="22"/>
      <c r="B284" s="22"/>
      <c r="C284" s="22"/>
      <c r="D284" s="22"/>
      <c r="E284" s="22"/>
      <c r="H284" s="22"/>
      <c r="I284" s="22"/>
      <c r="J284" s="22"/>
      <c r="K284" s="22"/>
      <c r="N284" s="22"/>
      <c r="O284" s="22"/>
      <c r="P284" s="22"/>
      <c r="Q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H284" s="22"/>
      <c r="AI284" s="22"/>
      <c r="AJ284" s="22"/>
      <c r="AK284" s="22"/>
    </row>
    <row r="285" spans="1:37" ht="15.75" customHeight="1" x14ac:dyDescent="0.25">
      <c r="A285" s="22"/>
      <c r="B285" s="22"/>
      <c r="C285" s="22"/>
      <c r="D285" s="22"/>
      <c r="E285" s="22"/>
      <c r="H285" s="22"/>
      <c r="I285" s="22"/>
      <c r="J285" s="22"/>
      <c r="K285" s="22"/>
      <c r="N285" s="22"/>
      <c r="O285" s="22"/>
      <c r="P285" s="22"/>
      <c r="Q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H285" s="22"/>
      <c r="AI285" s="22"/>
      <c r="AJ285" s="22"/>
      <c r="AK285" s="22"/>
    </row>
    <row r="286" spans="1:37" ht="15.75" customHeight="1" x14ac:dyDescent="0.25">
      <c r="A286" s="22"/>
      <c r="B286" s="22"/>
      <c r="C286" s="22"/>
      <c r="D286" s="22"/>
      <c r="E286" s="22"/>
      <c r="H286" s="22"/>
      <c r="I286" s="22"/>
      <c r="J286" s="22"/>
      <c r="K286" s="22"/>
      <c r="N286" s="22"/>
      <c r="O286" s="22"/>
      <c r="P286" s="22"/>
      <c r="Q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H286" s="22"/>
      <c r="AI286" s="22"/>
      <c r="AJ286" s="22"/>
      <c r="AK286" s="22"/>
    </row>
    <row r="287" spans="1:37" ht="15.75" customHeight="1" x14ac:dyDescent="0.25">
      <c r="A287" s="22"/>
      <c r="B287" s="22"/>
      <c r="C287" s="22"/>
      <c r="D287" s="22"/>
      <c r="E287" s="22"/>
      <c r="H287" s="22"/>
      <c r="I287" s="22"/>
      <c r="J287" s="22"/>
      <c r="K287" s="22"/>
      <c r="N287" s="22"/>
      <c r="O287" s="22"/>
      <c r="P287" s="22"/>
      <c r="Q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H287" s="22"/>
      <c r="AI287" s="22"/>
      <c r="AJ287" s="22"/>
      <c r="AK287" s="22"/>
    </row>
    <row r="288" spans="1:37" ht="15.75" customHeight="1" x14ac:dyDescent="0.25">
      <c r="A288" s="22"/>
      <c r="B288" s="22"/>
      <c r="C288" s="22"/>
      <c r="D288" s="22"/>
      <c r="E288" s="22"/>
      <c r="H288" s="22"/>
      <c r="I288" s="22"/>
      <c r="J288" s="22"/>
      <c r="K288" s="22"/>
      <c r="N288" s="22"/>
      <c r="O288" s="22"/>
      <c r="P288" s="22"/>
      <c r="Q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H288" s="22"/>
      <c r="AI288" s="22"/>
      <c r="AJ288" s="22"/>
      <c r="AK288" s="22"/>
    </row>
    <row r="289" spans="1:37" ht="15.75" customHeight="1" x14ac:dyDescent="0.25">
      <c r="A289" s="22"/>
      <c r="B289" s="22"/>
      <c r="C289" s="22"/>
      <c r="D289" s="22"/>
      <c r="E289" s="22"/>
      <c r="H289" s="22"/>
      <c r="I289" s="22"/>
      <c r="J289" s="22"/>
      <c r="K289" s="22"/>
      <c r="N289" s="22"/>
      <c r="O289" s="22"/>
      <c r="P289" s="22"/>
      <c r="Q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H289" s="22"/>
      <c r="AI289" s="22"/>
      <c r="AJ289" s="22"/>
      <c r="AK289" s="22"/>
    </row>
    <row r="290" spans="1:37" ht="15.75" customHeight="1" x14ac:dyDescent="0.25">
      <c r="A290" s="22"/>
      <c r="B290" s="22"/>
      <c r="C290" s="22"/>
      <c r="D290" s="22"/>
      <c r="E290" s="22"/>
      <c r="H290" s="22"/>
      <c r="I290" s="22"/>
      <c r="J290" s="22"/>
      <c r="K290" s="22"/>
      <c r="N290" s="22"/>
      <c r="O290" s="22"/>
      <c r="P290" s="22"/>
      <c r="Q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H290" s="22"/>
      <c r="AI290" s="22"/>
      <c r="AJ290" s="22"/>
      <c r="AK290" s="22"/>
    </row>
    <row r="291" spans="1:37" ht="15.75" customHeight="1" x14ac:dyDescent="0.25">
      <c r="A291" s="22"/>
      <c r="B291" s="22"/>
      <c r="C291" s="22"/>
      <c r="D291" s="22"/>
      <c r="E291" s="22"/>
      <c r="H291" s="22"/>
      <c r="I291" s="22"/>
      <c r="J291" s="22"/>
      <c r="K291" s="22"/>
      <c r="N291" s="22"/>
      <c r="O291" s="22"/>
      <c r="P291" s="22"/>
      <c r="Q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H291" s="22"/>
      <c r="AI291" s="22"/>
      <c r="AJ291" s="22"/>
      <c r="AK291" s="22"/>
    </row>
    <row r="292" spans="1:37" ht="15.75" customHeight="1" x14ac:dyDescent="0.25">
      <c r="A292" s="22"/>
      <c r="B292" s="22"/>
      <c r="C292" s="22"/>
      <c r="D292" s="22"/>
      <c r="E292" s="22"/>
      <c r="H292" s="22"/>
      <c r="I292" s="22"/>
      <c r="J292" s="22"/>
      <c r="K292" s="22"/>
      <c r="N292" s="22"/>
      <c r="O292" s="22"/>
      <c r="P292" s="22"/>
      <c r="Q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H292" s="22"/>
      <c r="AI292" s="22"/>
      <c r="AJ292" s="22"/>
      <c r="AK292" s="22"/>
    </row>
    <row r="293" spans="1:37" ht="15.75" customHeight="1" x14ac:dyDescent="0.25">
      <c r="A293" s="22"/>
      <c r="B293" s="22"/>
      <c r="C293" s="22"/>
      <c r="D293" s="22"/>
      <c r="E293" s="22"/>
      <c r="H293" s="22"/>
      <c r="I293" s="22"/>
      <c r="J293" s="22"/>
      <c r="K293" s="22"/>
      <c r="N293" s="22"/>
      <c r="O293" s="22"/>
      <c r="P293" s="22"/>
      <c r="Q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H293" s="22"/>
      <c r="AI293" s="22"/>
      <c r="AJ293" s="22"/>
      <c r="AK293" s="22"/>
    </row>
    <row r="294" spans="1:37" ht="15.75" customHeight="1" x14ac:dyDescent="0.25">
      <c r="A294" s="22"/>
      <c r="B294" s="22"/>
      <c r="C294" s="22"/>
      <c r="D294" s="22"/>
      <c r="E294" s="22"/>
      <c r="H294" s="22"/>
      <c r="I294" s="22"/>
      <c r="J294" s="22"/>
      <c r="K294" s="22"/>
      <c r="N294" s="22"/>
      <c r="O294" s="22"/>
      <c r="P294" s="22"/>
      <c r="Q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H294" s="22"/>
      <c r="AI294" s="22"/>
      <c r="AJ294" s="22"/>
      <c r="AK294" s="22"/>
    </row>
    <row r="295" spans="1:37" ht="15.75" customHeight="1" x14ac:dyDescent="0.25">
      <c r="A295" s="22"/>
      <c r="B295" s="22"/>
      <c r="C295" s="22"/>
      <c r="D295" s="22"/>
      <c r="E295" s="22"/>
      <c r="H295" s="22"/>
      <c r="I295" s="22"/>
      <c r="J295" s="22"/>
      <c r="K295" s="22"/>
      <c r="N295" s="22"/>
      <c r="O295" s="22"/>
      <c r="P295" s="22"/>
      <c r="Q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H295" s="22"/>
      <c r="AI295" s="22"/>
      <c r="AJ295" s="22"/>
      <c r="AK295" s="22"/>
    </row>
    <row r="296" spans="1:37" ht="15.75" customHeight="1" x14ac:dyDescent="0.25">
      <c r="A296" s="22"/>
      <c r="B296" s="22"/>
      <c r="C296" s="22"/>
      <c r="D296" s="22"/>
      <c r="E296" s="22"/>
      <c r="H296" s="22"/>
      <c r="I296" s="22"/>
      <c r="J296" s="22"/>
      <c r="K296" s="22"/>
      <c r="N296" s="22"/>
      <c r="O296" s="22"/>
      <c r="P296" s="22"/>
      <c r="Q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H296" s="22"/>
      <c r="AI296" s="22"/>
      <c r="AJ296" s="22"/>
      <c r="AK296" s="22"/>
    </row>
    <row r="297" spans="1:37" ht="15.75" customHeight="1" x14ac:dyDescent="0.25">
      <c r="A297" s="22"/>
      <c r="B297" s="22"/>
      <c r="C297" s="22"/>
      <c r="D297" s="22"/>
      <c r="E297" s="22"/>
      <c r="H297" s="22"/>
      <c r="I297" s="22"/>
      <c r="J297" s="22"/>
      <c r="K297" s="22"/>
      <c r="N297" s="22"/>
      <c r="O297" s="22"/>
      <c r="P297" s="22"/>
      <c r="Q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H297" s="22"/>
      <c r="AI297" s="22"/>
      <c r="AJ297" s="22"/>
      <c r="AK297" s="22"/>
    </row>
    <row r="298" spans="1:37" ht="15.75" customHeight="1" x14ac:dyDescent="0.25">
      <c r="A298" s="22"/>
      <c r="B298" s="22"/>
      <c r="C298" s="22"/>
      <c r="D298" s="22"/>
      <c r="E298" s="22"/>
      <c r="H298" s="22"/>
      <c r="I298" s="22"/>
      <c r="J298" s="22"/>
      <c r="K298" s="22"/>
      <c r="N298" s="22"/>
      <c r="O298" s="22"/>
      <c r="P298" s="22"/>
      <c r="Q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H298" s="22"/>
      <c r="AI298" s="22"/>
      <c r="AJ298" s="22"/>
      <c r="AK298" s="22"/>
    </row>
    <row r="299" spans="1:37" ht="15.75" customHeight="1" x14ac:dyDescent="0.25">
      <c r="A299" s="22"/>
      <c r="B299" s="22"/>
      <c r="C299" s="22"/>
      <c r="D299" s="22"/>
      <c r="E299" s="22"/>
      <c r="H299" s="22"/>
      <c r="I299" s="22"/>
      <c r="J299" s="22"/>
      <c r="K299" s="22"/>
      <c r="N299" s="22"/>
      <c r="O299" s="22"/>
      <c r="P299" s="22"/>
      <c r="Q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H299" s="22"/>
      <c r="AI299" s="22"/>
      <c r="AJ299" s="22"/>
      <c r="AK299" s="22"/>
    </row>
    <row r="300" spans="1:37" ht="15.75" customHeight="1" x14ac:dyDescent="0.25">
      <c r="A300" s="22"/>
      <c r="B300" s="22"/>
      <c r="C300" s="22"/>
      <c r="D300" s="22"/>
      <c r="E300" s="22"/>
      <c r="H300" s="22"/>
      <c r="I300" s="22"/>
      <c r="J300" s="22"/>
      <c r="K300" s="22"/>
      <c r="N300" s="22"/>
      <c r="O300" s="22"/>
      <c r="P300" s="22"/>
      <c r="Q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H300" s="22"/>
      <c r="AI300" s="22"/>
      <c r="AJ300" s="22"/>
      <c r="AK300" s="22"/>
    </row>
    <row r="301" spans="1:37" ht="15.75" customHeight="1" x14ac:dyDescent="0.25">
      <c r="A301" s="22"/>
      <c r="B301" s="22"/>
      <c r="C301" s="22"/>
      <c r="D301" s="22"/>
      <c r="E301" s="22"/>
      <c r="H301" s="22"/>
      <c r="I301" s="22"/>
      <c r="J301" s="22"/>
      <c r="K301" s="22"/>
      <c r="N301" s="22"/>
      <c r="O301" s="22"/>
      <c r="P301" s="22"/>
      <c r="Q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H301" s="22"/>
      <c r="AI301" s="22"/>
      <c r="AJ301" s="22"/>
      <c r="AK301" s="22"/>
    </row>
    <row r="302" spans="1:37" ht="15.75" customHeight="1" x14ac:dyDescent="0.25">
      <c r="A302" s="22"/>
      <c r="B302" s="22"/>
      <c r="C302" s="22"/>
      <c r="D302" s="22"/>
      <c r="E302" s="22"/>
      <c r="H302" s="22"/>
      <c r="I302" s="22"/>
      <c r="J302" s="22"/>
      <c r="K302" s="22"/>
      <c r="N302" s="22"/>
      <c r="O302" s="22"/>
      <c r="P302" s="22"/>
      <c r="Q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H302" s="22"/>
      <c r="AI302" s="22"/>
      <c r="AJ302" s="22"/>
      <c r="AK302" s="22"/>
    </row>
    <row r="303" spans="1:37" ht="15.75" customHeight="1" x14ac:dyDescent="0.25">
      <c r="A303" s="22"/>
      <c r="B303" s="22"/>
      <c r="C303" s="22"/>
      <c r="D303" s="22"/>
      <c r="E303" s="22"/>
      <c r="H303" s="22"/>
      <c r="I303" s="22"/>
      <c r="J303" s="22"/>
      <c r="K303" s="22"/>
      <c r="N303" s="22"/>
      <c r="O303" s="22"/>
      <c r="P303" s="22"/>
      <c r="Q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H303" s="22"/>
      <c r="AI303" s="22"/>
      <c r="AJ303" s="22"/>
      <c r="AK303" s="22"/>
    </row>
    <row r="304" spans="1:37" ht="15.75" customHeight="1" x14ac:dyDescent="0.25">
      <c r="A304" s="22"/>
      <c r="B304" s="22"/>
      <c r="C304" s="22"/>
      <c r="D304" s="22"/>
      <c r="E304" s="22"/>
      <c r="H304" s="22"/>
      <c r="I304" s="22"/>
      <c r="J304" s="22"/>
      <c r="K304" s="22"/>
      <c r="N304" s="22"/>
      <c r="O304" s="22"/>
      <c r="P304" s="22"/>
      <c r="Q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H304" s="22"/>
      <c r="AI304" s="22"/>
      <c r="AJ304" s="22"/>
      <c r="AK304" s="22"/>
    </row>
    <row r="305" spans="1:37" ht="15.75" customHeight="1" x14ac:dyDescent="0.25">
      <c r="A305" s="22"/>
      <c r="B305" s="22"/>
      <c r="C305" s="22"/>
      <c r="D305" s="22"/>
      <c r="E305" s="22"/>
      <c r="H305" s="22"/>
      <c r="I305" s="22"/>
      <c r="J305" s="22"/>
      <c r="K305" s="22"/>
      <c r="N305" s="22"/>
      <c r="O305" s="22"/>
      <c r="P305" s="22"/>
      <c r="Q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H305" s="22"/>
      <c r="AI305" s="22"/>
      <c r="AJ305" s="22"/>
      <c r="AK305" s="22"/>
    </row>
    <row r="306" spans="1:37" ht="15.75" customHeight="1" x14ac:dyDescent="0.25">
      <c r="A306" s="22"/>
      <c r="B306" s="22"/>
      <c r="C306" s="22"/>
      <c r="D306" s="22"/>
      <c r="E306" s="22"/>
      <c r="H306" s="22"/>
      <c r="I306" s="22"/>
      <c r="J306" s="22"/>
      <c r="K306" s="22"/>
      <c r="N306" s="22"/>
      <c r="O306" s="22"/>
      <c r="P306" s="22"/>
      <c r="Q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H306" s="22"/>
      <c r="AI306" s="22"/>
      <c r="AJ306" s="22"/>
      <c r="AK306" s="22"/>
    </row>
    <row r="307" spans="1:37" ht="15.75" customHeight="1" x14ac:dyDescent="0.25">
      <c r="A307" s="22"/>
      <c r="B307" s="22"/>
      <c r="C307" s="22"/>
      <c r="D307" s="22"/>
      <c r="E307" s="22"/>
      <c r="H307" s="22"/>
      <c r="I307" s="22"/>
      <c r="J307" s="22"/>
      <c r="K307" s="22"/>
      <c r="N307" s="22"/>
      <c r="O307" s="22"/>
      <c r="P307" s="22"/>
      <c r="Q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H307" s="22"/>
      <c r="AI307" s="22"/>
      <c r="AJ307" s="22"/>
      <c r="AK307" s="22"/>
    </row>
    <row r="308" spans="1:37" ht="15.75" customHeight="1" x14ac:dyDescent="0.25">
      <c r="A308" s="22"/>
      <c r="B308" s="22"/>
      <c r="C308" s="22"/>
      <c r="D308" s="22"/>
      <c r="E308" s="22"/>
      <c r="H308" s="22"/>
      <c r="I308" s="22"/>
      <c r="J308" s="22"/>
      <c r="K308" s="22"/>
      <c r="N308" s="22"/>
      <c r="O308" s="22"/>
      <c r="P308" s="22"/>
      <c r="Q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H308" s="22"/>
      <c r="AI308" s="22"/>
      <c r="AJ308" s="22"/>
      <c r="AK308" s="22"/>
    </row>
    <row r="309" spans="1:37" ht="15.75" customHeight="1" x14ac:dyDescent="0.25">
      <c r="A309" s="22"/>
      <c r="B309" s="22"/>
      <c r="C309" s="22"/>
      <c r="D309" s="22"/>
      <c r="E309" s="22"/>
      <c r="H309" s="22"/>
      <c r="I309" s="22"/>
      <c r="J309" s="22"/>
      <c r="K309" s="22"/>
      <c r="N309" s="22"/>
      <c r="O309" s="22"/>
      <c r="P309" s="22"/>
      <c r="Q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H309" s="22"/>
      <c r="AI309" s="22"/>
      <c r="AJ309" s="22"/>
      <c r="AK309" s="22"/>
    </row>
    <row r="310" spans="1:37" ht="15.75" customHeight="1" x14ac:dyDescent="0.25">
      <c r="A310" s="22"/>
      <c r="B310" s="22"/>
      <c r="C310" s="22"/>
      <c r="D310" s="22"/>
      <c r="E310" s="22"/>
      <c r="H310" s="22"/>
      <c r="I310" s="22"/>
      <c r="J310" s="22"/>
      <c r="K310" s="22"/>
      <c r="N310" s="22"/>
      <c r="O310" s="22"/>
      <c r="P310" s="22"/>
      <c r="Q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H310" s="22"/>
      <c r="AI310" s="22"/>
      <c r="AJ310" s="22"/>
      <c r="AK310" s="22"/>
    </row>
    <row r="311" spans="1:37" ht="15.75" customHeight="1" x14ac:dyDescent="0.25">
      <c r="A311" s="22"/>
      <c r="B311" s="22"/>
      <c r="C311" s="22"/>
      <c r="D311" s="22"/>
      <c r="E311" s="22"/>
      <c r="H311" s="22"/>
      <c r="I311" s="22"/>
      <c r="J311" s="22"/>
      <c r="K311" s="22"/>
      <c r="N311" s="22"/>
      <c r="O311" s="22"/>
      <c r="P311" s="22"/>
      <c r="Q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H311" s="22"/>
      <c r="AI311" s="22"/>
      <c r="AJ311" s="22"/>
      <c r="AK311" s="22"/>
    </row>
    <row r="312" spans="1:37" ht="15.75" customHeight="1" x14ac:dyDescent="0.25">
      <c r="A312" s="22"/>
      <c r="B312" s="22"/>
      <c r="C312" s="22"/>
      <c r="D312" s="22"/>
      <c r="E312" s="22"/>
      <c r="H312" s="22"/>
      <c r="I312" s="22"/>
      <c r="J312" s="22"/>
      <c r="K312" s="22"/>
      <c r="N312" s="22"/>
      <c r="O312" s="22"/>
      <c r="P312" s="22"/>
      <c r="Q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H312" s="22"/>
      <c r="AI312" s="22"/>
      <c r="AJ312" s="22"/>
      <c r="AK312" s="22"/>
    </row>
    <row r="313" spans="1:37" ht="15.75" customHeight="1" x14ac:dyDescent="0.25">
      <c r="A313" s="22"/>
      <c r="B313" s="22"/>
      <c r="C313" s="22"/>
      <c r="D313" s="22"/>
      <c r="E313" s="22"/>
      <c r="H313" s="22"/>
      <c r="I313" s="22"/>
      <c r="J313" s="22"/>
      <c r="K313" s="22"/>
      <c r="N313" s="22"/>
      <c r="O313" s="22"/>
      <c r="P313" s="22"/>
      <c r="Q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H313" s="22"/>
      <c r="AI313" s="22"/>
      <c r="AJ313" s="22"/>
      <c r="AK313" s="22"/>
    </row>
    <row r="314" spans="1:37" ht="15.75" customHeight="1" x14ac:dyDescent="0.25">
      <c r="A314" s="22"/>
      <c r="B314" s="22"/>
      <c r="C314" s="22"/>
      <c r="D314" s="22"/>
      <c r="E314" s="22"/>
      <c r="H314" s="22"/>
      <c r="I314" s="22"/>
      <c r="J314" s="22"/>
      <c r="K314" s="22"/>
      <c r="N314" s="22"/>
      <c r="O314" s="22"/>
      <c r="P314" s="22"/>
      <c r="Q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H314" s="22"/>
      <c r="AI314" s="22"/>
      <c r="AJ314" s="22"/>
      <c r="AK314" s="22"/>
    </row>
    <row r="315" spans="1:37" ht="15.75" customHeight="1" x14ac:dyDescent="0.25">
      <c r="A315" s="22"/>
      <c r="B315" s="22"/>
      <c r="C315" s="22"/>
      <c r="D315" s="22"/>
      <c r="E315" s="22"/>
      <c r="H315" s="22"/>
      <c r="I315" s="22"/>
      <c r="J315" s="22"/>
      <c r="K315" s="22"/>
      <c r="N315" s="22"/>
      <c r="O315" s="22"/>
      <c r="P315" s="22"/>
      <c r="Q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H315" s="22"/>
      <c r="AI315" s="22"/>
      <c r="AJ315" s="22"/>
      <c r="AK315" s="22"/>
    </row>
    <row r="316" spans="1:37" ht="15.75" customHeight="1" x14ac:dyDescent="0.25">
      <c r="A316" s="22"/>
      <c r="B316" s="22"/>
      <c r="C316" s="22"/>
      <c r="D316" s="22"/>
      <c r="E316" s="22"/>
      <c r="H316" s="22"/>
      <c r="I316" s="22"/>
      <c r="J316" s="22"/>
      <c r="K316" s="22"/>
      <c r="N316" s="22"/>
      <c r="O316" s="22"/>
      <c r="P316" s="22"/>
      <c r="Q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H316" s="22"/>
      <c r="AI316" s="22"/>
      <c r="AJ316" s="22"/>
      <c r="AK316" s="22"/>
    </row>
    <row r="317" spans="1:37" ht="15.75" customHeight="1" x14ac:dyDescent="0.25">
      <c r="A317" s="22"/>
      <c r="B317" s="22"/>
      <c r="C317" s="22"/>
      <c r="D317" s="22"/>
      <c r="E317" s="22"/>
      <c r="H317" s="22"/>
      <c r="I317" s="22"/>
      <c r="J317" s="22"/>
      <c r="K317" s="22"/>
      <c r="N317" s="22"/>
      <c r="O317" s="22"/>
      <c r="P317" s="22"/>
      <c r="Q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H317" s="22"/>
      <c r="AI317" s="22"/>
      <c r="AJ317" s="22"/>
      <c r="AK317" s="22"/>
    </row>
    <row r="318" spans="1:37" ht="15.75" customHeight="1" x14ac:dyDescent="0.25">
      <c r="A318" s="22"/>
      <c r="B318" s="22"/>
      <c r="C318" s="22"/>
      <c r="D318" s="22"/>
      <c r="E318" s="22"/>
      <c r="H318" s="22"/>
      <c r="I318" s="22"/>
      <c r="J318" s="22"/>
      <c r="K318" s="22"/>
      <c r="N318" s="22"/>
      <c r="O318" s="22"/>
      <c r="P318" s="22"/>
      <c r="Q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H318" s="22"/>
      <c r="AI318" s="22"/>
      <c r="AJ318" s="22"/>
      <c r="AK318" s="22"/>
    </row>
    <row r="319" spans="1:37" ht="15.75" customHeight="1" x14ac:dyDescent="0.25">
      <c r="A319" s="22"/>
      <c r="B319" s="22"/>
      <c r="C319" s="22"/>
      <c r="D319" s="22"/>
      <c r="E319" s="22"/>
      <c r="H319" s="22"/>
      <c r="I319" s="22"/>
      <c r="J319" s="22"/>
      <c r="K319" s="22"/>
      <c r="N319" s="22"/>
      <c r="O319" s="22"/>
      <c r="P319" s="22"/>
      <c r="Q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H319" s="22"/>
      <c r="AI319" s="22"/>
      <c r="AJ319" s="22"/>
      <c r="AK319" s="22"/>
    </row>
    <row r="320" spans="1:37" ht="15.75" customHeight="1" x14ac:dyDescent="0.25">
      <c r="A320" s="22"/>
      <c r="B320" s="22"/>
      <c r="C320" s="22"/>
      <c r="D320" s="22"/>
      <c r="E320" s="22"/>
      <c r="H320" s="22"/>
      <c r="I320" s="22"/>
      <c r="J320" s="22"/>
      <c r="K320" s="22"/>
      <c r="N320" s="22"/>
      <c r="O320" s="22"/>
      <c r="P320" s="22"/>
      <c r="Q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H320" s="22"/>
      <c r="AI320" s="22"/>
      <c r="AJ320" s="22"/>
      <c r="AK320" s="22"/>
    </row>
    <row r="321" spans="1:37" ht="15.75" customHeight="1" x14ac:dyDescent="0.25">
      <c r="A321" s="22"/>
      <c r="B321" s="22"/>
      <c r="C321" s="22"/>
      <c r="D321" s="22"/>
      <c r="E321" s="22"/>
      <c r="H321" s="22"/>
      <c r="I321" s="22"/>
      <c r="J321" s="22"/>
      <c r="K321" s="22"/>
      <c r="N321" s="22"/>
      <c r="O321" s="22"/>
      <c r="P321" s="22"/>
      <c r="Q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H321" s="22"/>
      <c r="AI321" s="22"/>
      <c r="AJ321" s="22"/>
      <c r="AK321" s="22"/>
    </row>
    <row r="322" spans="1:37" ht="15.75" customHeight="1" x14ac:dyDescent="0.25">
      <c r="A322" s="22"/>
      <c r="B322" s="22"/>
      <c r="C322" s="22"/>
      <c r="D322" s="22"/>
      <c r="E322" s="22"/>
      <c r="H322" s="22"/>
      <c r="I322" s="22"/>
      <c r="J322" s="22"/>
      <c r="K322" s="22"/>
      <c r="N322" s="22"/>
      <c r="O322" s="22"/>
      <c r="P322" s="22"/>
      <c r="Q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H322" s="22"/>
      <c r="AI322" s="22"/>
      <c r="AJ322" s="22"/>
      <c r="AK322" s="22"/>
    </row>
    <row r="323" spans="1:37" ht="15.75" customHeight="1" x14ac:dyDescent="0.25">
      <c r="A323" s="22"/>
      <c r="B323" s="22"/>
      <c r="C323" s="22"/>
      <c r="D323" s="22"/>
      <c r="E323" s="22"/>
      <c r="H323" s="22"/>
      <c r="I323" s="22"/>
      <c r="J323" s="22"/>
      <c r="K323" s="22"/>
      <c r="N323" s="22"/>
      <c r="O323" s="22"/>
      <c r="P323" s="22"/>
      <c r="Q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H323" s="22"/>
      <c r="AI323" s="22"/>
      <c r="AJ323" s="22"/>
      <c r="AK323" s="22"/>
    </row>
    <row r="324" spans="1:37" ht="15.75" customHeight="1" x14ac:dyDescent="0.25">
      <c r="A324" s="22"/>
      <c r="B324" s="22"/>
      <c r="C324" s="22"/>
      <c r="D324" s="22"/>
      <c r="E324" s="22"/>
      <c r="H324" s="22"/>
      <c r="I324" s="22"/>
      <c r="J324" s="22"/>
      <c r="K324" s="22"/>
      <c r="N324" s="22"/>
      <c r="O324" s="22"/>
      <c r="P324" s="22"/>
      <c r="Q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H324" s="22"/>
      <c r="AI324" s="22"/>
      <c r="AJ324" s="22"/>
      <c r="AK324" s="22"/>
    </row>
    <row r="325" spans="1:37" ht="15.75" customHeight="1" x14ac:dyDescent="0.25">
      <c r="A325" s="22"/>
      <c r="B325" s="22"/>
      <c r="C325" s="22"/>
      <c r="D325" s="22"/>
      <c r="E325" s="22"/>
      <c r="H325" s="22"/>
      <c r="I325" s="22"/>
      <c r="J325" s="22"/>
      <c r="K325" s="22"/>
      <c r="N325" s="22"/>
      <c r="O325" s="22"/>
      <c r="P325" s="22"/>
      <c r="Q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H325" s="22"/>
      <c r="AI325" s="22"/>
      <c r="AJ325" s="22"/>
      <c r="AK325" s="22"/>
    </row>
    <row r="326" spans="1:37" ht="15.75" customHeight="1" x14ac:dyDescent="0.25">
      <c r="A326" s="22"/>
      <c r="B326" s="22"/>
      <c r="C326" s="22"/>
      <c r="D326" s="22"/>
      <c r="E326" s="22"/>
      <c r="H326" s="22"/>
      <c r="I326" s="22"/>
      <c r="J326" s="22"/>
      <c r="K326" s="22"/>
      <c r="N326" s="22"/>
      <c r="O326" s="22"/>
      <c r="P326" s="22"/>
      <c r="Q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H326" s="22"/>
      <c r="AI326" s="22"/>
      <c r="AJ326" s="22"/>
      <c r="AK326" s="22"/>
    </row>
    <row r="327" spans="1:37" ht="15.75" customHeight="1" x14ac:dyDescent="0.25">
      <c r="A327" s="22"/>
      <c r="B327" s="22"/>
      <c r="C327" s="22"/>
      <c r="D327" s="22"/>
      <c r="E327" s="22"/>
      <c r="H327" s="22"/>
      <c r="I327" s="22"/>
      <c r="J327" s="22"/>
      <c r="K327" s="22"/>
      <c r="N327" s="22"/>
      <c r="O327" s="22"/>
      <c r="P327" s="22"/>
      <c r="Q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H327" s="22"/>
      <c r="AI327" s="22"/>
      <c r="AJ327" s="22"/>
      <c r="AK327" s="22"/>
    </row>
    <row r="328" spans="1:37" ht="15.75" customHeight="1" x14ac:dyDescent="0.25">
      <c r="A328" s="22"/>
      <c r="B328" s="22"/>
      <c r="C328" s="22"/>
      <c r="D328" s="22"/>
      <c r="E328" s="22"/>
      <c r="H328" s="22"/>
      <c r="I328" s="22"/>
      <c r="J328" s="22"/>
      <c r="K328" s="22"/>
      <c r="N328" s="22"/>
      <c r="O328" s="22"/>
      <c r="P328" s="22"/>
      <c r="Q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H328" s="22"/>
      <c r="AI328" s="22"/>
      <c r="AJ328" s="22"/>
      <c r="AK328" s="22"/>
    </row>
    <row r="329" spans="1:37" ht="15.75" customHeight="1" x14ac:dyDescent="0.25">
      <c r="A329" s="22"/>
      <c r="B329" s="22"/>
      <c r="C329" s="22"/>
      <c r="D329" s="22"/>
      <c r="E329" s="22"/>
      <c r="H329" s="22"/>
      <c r="I329" s="22"/>
      <c r="J329" s="22"/>
      <c r="K329" s="22"/>
      <c r="N329" s="22"/>
      <c r="O329" s="22"/>
      <c r="P329" s="22"/>
      <c r="Q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H329" s="22"/>
      <c r="AI329" s="22"/>
      <c r="AJ329" s="22"/>
      <c r="AK329" s="22"/>
    </row>
    <row r="330" spans="1:37" ht="15.75" customHeight="1" x14ac:dyDescent="0.25">
      <c r="A330" s="22"/>
      <c r="B330" s="22"/>
      <c r="C330" s="22"/>
      <c r="D330" s="22"/>
      <c r="E330" s="22"/>
      <c r="H330" s="22"/>
      <c r="I330" s="22"/>
      <c r="J330" s="22"/>
      <c r="K330" s="22"/>
      <c r="N330" s="22"/>
      <c r="O330" s="22"/>
      <c r="P330" s="22"/>
      <c r="Q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H330" s="22"/>
      <c r="AI330" s="22"/>
      <c r="AJ330" s="22"/>
      <c r="AK330" s="22"/>
    </row>
    <row r="331" spans="1:37" ht="15.75" customHeight="1" x14ac:dyDescent="0.25">
      <c r="A331" s="22"/>
      <c r="B331" s="22"/>
      <c r="C331" s="22"/>
      <c r="D331" s="22"/>
      <c r="E331" s="22"/>
      <c r="H331" s="22"/>
      <c r="I331" s="22"/>
      <c r="J331" s="22"/>
      <c r="K331" s="22"/>
      <c r="N331" s="22"/>
      <c r="O331" s="22"/>
      <c r="P331" s="22"/>
      <c r="Q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H331" s="22"/>
      <c r="AI331" s="22"/>
      <c r="AJ331" s="22"/>
      <c r="AK331" s="22"/>
    </row>
    <row r="332" spans="1:37" ht="15.75" customHeight="1" x14ac:dyDescent="0.25">
      <c r="A332" s="22"/>
      <c r="B332" s="22"/>
      <c r="C332" s="22"/>
      <c r="D332" s="22"/>
      <c r="E332" s="22"/>
      <c r="H332" s="22"/>
      <c r="I332" s="22"/>
      <c r="J332" s="22"/>
      <c r="K332" s="22"/>
      <c r="N332" s="22"/>
      <c r="O332" s="22"/>
      <c r="P332" s="22"/>
      <c r="Q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H332" s="22"/>
      <c r="AI332" s="22"/>
      <c r="AJ332" s="22"/>
      <c r="AK332" s="22"/>
    </row>
    <row r="333" spans="1:37" ht="15.75" customHeight="1" x14ac:dyDescent="0.25">
      <c r="A333" s="22"/>
      <c r="B333" s="22"/>
      <c r="C333" s="22"/>
      <c r="D333" s="22"/>
      <c r="E333" s="22"/>
      <c r="H333" s="22"/>
      <c r="I333" s="22"/>
      <c r="J333" s="22"/>
      <c r="K333" s="22"/>
      <c r="N333" s="22"/>
      <c r="O333" s="22"/>
      <c r="P333" s="22"/>
      <c r="Q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H333" s="22"/>
      <c r="AI333" s="22"/>
      <c r="AJ333" s="22"/>
      <c r="AK333" s="22"/>
    </row>
    <row r="334" spans="1:37" ht="15.75" customHeight="1" x14ac:dyDescent="0.25">
      <c r="A334" s="22"/>
      <c r="B334" s="22"/>
      <c r="C334" s="22"/>
      <c r="D334" s="22"/>
      <c r="E334" s="22"/>
      <c r="H334" s="22"/>
      <c r="I334" s="22"/>
      <c r="J334" s="22"/>
      <c r="K334" s="22"/>
      <c r="N334" s="22"/>
      <c r="O334" s="22"/>
      <c r="P334" s="22"/>
      <c r="Q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H334" s="22"/>
      <c r="AI334" s="22"/>
      <c r="AJ334" s="22"/>
      <c r="AK334" s="22"/>
    </row>
    <row r="335" spans="1:37" ht="15.75" customHeight="1" x14ac:dyDescent="0.25">
      <c r="A335" s="22"/>
      <c r="B335" s="22"/>
      <c r="C335" s="22"/>
      <c r="D335" s="22"/>
      <c r="E335" s="22"/>
      <c r="H335" s="22"/>
      <c r="I335" s="22"/>
      <c r="J335" s="22"/>
      <c r="K335" s="22"/>
      <c r="N335" s="22"/>
      <c r="O335" s="22"/>
      <c r="P335" s="22"/>
      <c r="Q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H335" s="22"/>
      <c r="AI335" s="22"/>
      <c r="AJ335" s="22"/>
      <c r="AK335" s="22"/>
    </row>
    <row r="336" spans="1:37" ht="15.75" customHeight="1" x14ac:dyDescent="0.25">
      <c r="A336" s="22"/>
      <c r="B336" s="22"/>
      <c r="C336" s="22"/>
      <c r="D336" s="22"/>
      <c r="E336" s="22"/>
      <c r="H336" s="22"/>
      <c r="I336" s="22"/>
      <c r="J336" s="22"/>
      <c r="K336" s="22"/>
      <c r="N336" s="22"/>
      <c r="O336" s="22"/>
      <c r="P336" s="22"/>
      <c r="Q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H336" s="22"/>
      <c r="AI336" s="22"/>
      <c r="AJ336" s="22"/>
      <c r="AK336" s="22"/>
    </row>
    <row r="337" spans="1:37" ht="15.75" customHeight="1" x14ac:dyDescent="0.25">
      <c r="A337" s="22"/>
      <c r="B337" s="22"/>
      <c r="C337" s="22"/>
      <c r="D337" s="22"/>
      <c r="E337" s="22"/>
      <c r="H337" s="22"/>
      <c r="I337" s="22"/>
      <c r="J337" s="22"/>
      <c r="K337" s="22"/>
      <c r="N337" s="22"/>
      <c r="O337" s="22"/>
      <c r="P337" s="22"/>
      <c r="Q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H337" s="22"/>
      <c r="AI337" s="22"/>
      <c r="AJ337" s="22"/>
      <c r="AK337" s="22"/>
    </row>
    <row r="338" spans="1:37" ht="15.75" customHeight="1" x14ac:dyDescent="0.25">
      <c r="A338" s="22"/>
      <c r="B338" s="22"/>
      <c r="C338" s="22"/>
      <c r="D338" s="22"/>
      <c r="E338" s="22"/>
      <c r="H338" s="22"/>
      <c r="I338" s="22"/>
      <c r="J338" s="22"/>
      <c r="K338" s="22"/>
      <c r="N338" s="22"/>
      <c r="O338" s="22"/>
      <c r="P338" s="22"/>
      <c r="Q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H338" s="22"/>
      <c r="AI338" s="22"/>
      <c r="AJ338" s="22"/>
      <c r="AK338" s="22"/>
    </row>
    <row r="339" spans="1:37" ht="15.75" customHeight="1" x14ac:dyDescent="0.25">
      <c r="A339" s="22"/>
      <c r="B339" s="22"/>
      <c r="C339" s="22"/>
      <c r="D339" s="22"/>
      <c r="E339" s="22"/>
      <c r="H339" s="22"/>
      <c r="I339" s="22"/>
      <c r="J339" s="22"/>
      <c r="K339" s="22"/>
      <c r="N339" s="22"/>
      <c r="O339" s="22"/>
      <c r="P339" s="22"/>
      <c r="Q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H339" s="22"/>
      <c r="AI339" s="22"/>
      <c r="AJ339" s="22"/>
      <c r="AK339" s="22"/>
    </row>
    <row r="340" spans="1:37" ht="15.75" customHeight="1" x14ac:dyDescent="0.25">
      <c r="A340" s="22"/>
      <c r="B340" s="22"/>
      <c r="C340" s="22"/>
      <c r="D340" s="22"/>
      <c r="E340" s="22"/>
      <c r="H340" s="22"/>
      <c r="I340" s="22"/>
      <c r="J340" s="22"/>
      <c r="K340" s="22"/>
      <c r="N340" s="22"/>
      <c r="O340" s="22"/>
      <c r="P340" s="22"/>
      <c r="Q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H340" s="22"/>
      <c r="AI340" s="22"/>
      <c r="AJ340" s="22"/>
      <c r="AK340" s="22"/>
    </row>
    <row r="341" spans="1:37" ht="15.75" customHeight="1" x14ac:dyDescent="0.25">
      <c r="A341" s="22"/>
      <c r="B341" s="22"/>
      <c r="C341" s="22"/>
      <c r="D341" s="22"/>
      <c r="E341" s="22"/>
      <c r="H341" s="22"/>
      <c r="I341" s="22"/>
      <c r="J341" s="22"/>
      <c r="K341" s="22"/>
      <c r="N341" s="22"/>
      <c r="O341" s="22"/>
      <c r="P341" s="22"/>
      <c r="Q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H341" s="22"/>
      <c r="AI341" s="22"/>
      <c r="AJ341" s="22"/>
      <c r="AK341" s="22"/>
    </row>
    <row r="342" spans="1:37" ht="15.75" customHeight="1" x14ac:dyDescent="0.25">
      <c r="A342" s="22"/>
      <c r="B342" s="22"/>
      <c r="C342" s="22"/>
      <c r="D342" s="22"/>
      <c r="E342" s="22"/>
      <c r="H342" s="22"/>
      <c r="I342" s="22"/>
      <c r="J342" s="22"/>
      <c r="K342" s="22"/>
      <c r="N342" s="22"/>
      <c r="O342" s="22"/>
      <c r="P342" s="22"/>
      <c r="Q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H342" s="22"/>
      <c r="AI342" s="22"/>
      <c r="AJ342" s="22"/>
      <c r="AK342" s="22"/>
    </row>
    <row r="343" spans="1:37" ht="15.75" customHeight="1" x14ac:dyDescent="0.25">
      <c r="A343" s="22"/>
      <c r="B343" s="22"/>
      <c r="C343" s="22"/>
      <c r="D343" s="22"/>
      <c r="E343" s="22"/>
      <c r="H343" s="22"/>
      <c r="I343" s="22"/>
      <c r="J343" s="22"/>
      <c r="K343" s="22"/>
      <c r="N343" s="22"/>
      <c r="O343" s="22"/>
      <c r="P343" s="22"/>
      <c r="Q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H343" s="22"/>
      <c r="AI343" s="22"/>
      <c r="AJ343" s="22"/>
      <c r="AK343" s="22"/>
    </row>
    <row r="344" spans="1:37" ht="15.75" customHeight="1" x14ac:dyDescent="0.25">
      <c r="A344" s="22"/>
      <c r="B344" s="22"/>
      <c r="C344" s="22"/>
      <c r="D344" s="22"/>
      <c r="E344" s="22"/>
      <c r="H344" s="22"/>
      <c r="I344" s="22"/>
      <c r="J344" s="22"/>
      <c r="K344" s="22"/>
      <c r="N344" s="22"/>
      <c r="O344" s="22"/>
      <c r="P344" s="22"/>
      <c r="Q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H344" s="22"/>
      <c r="AI344" s="22"/>
      <c r="AJ344" s="22"/>
      <c r="AK344" s="22"/>
    </row>
    <row r="345" spans="1:37" ht="15.75" customHeight="1" x14ac:dyDescent="0.25">
      <c r="A345" s="22"/>
      <c r="B345" s="22"/>
      <c r="C345" s="22"/>
      <c r="D345" s="22"/>
      <c r="E345" s="22"/>
      <c r="H345" s="22"/>
      <c r="I345" s="22"/>
      <c r="J345" s="22"/>
      <c r="K345" s="22"/>
      <c r="N345" s="22"/>
      <c r="O345" s="22"/>
      <c r="P345" s="22"/>
      <c r="Q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H345" s="22"/>
      <c r="AI345" s="22"/>
      <c r="AJ345" s="22"/>
      <c r="AK345" s="22"/>
    </row>
    <row r="346" spans="1:37" ht="15.75" customHeight="1" x14ac:dyDescent="0.25">
      <c r="A346" s="22"/>
      <c r="B346" s="22"/>
      <c r="C346" s="22"/>
      <c r="D346" s="22"/>
      <c r="E346" s="22"/>
      <c r="H346" s="22"/>
      <c r="I346" s="22"/>
      <c r="J346" s="22"/>
      <c r="K346" s="22"/>
      <c r="N346" s="22"/>
      <c r="O346" s="22"/>
      <c r="P346" s="22"/>
      <c r="Q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H346" s="22"/>
      <c r="AI346" s="22"/>
      <c r="AJ346" s="22"/>
      <c r="AK346" s="22"/>
    </row>
    <row r="347" spans="1:37" ht="15.75" customHeight="1" x14ac:dyDescent="0.25">
      <c r="A347" s="22"/>
      <c r="B347" s="22"/>
      <c r="C347" s="22"/>
      <c r="D347" s="22"/>
      <c r="E347" s="22"/>
      <c r="H347" s="22"/>
      <c r="I347" s="22"/>
      <c r="J347" s="22"/>
      <c r="K347" s="22"/>
      <c r="N347" s="22"/>
      <c r="O347" s="22"/>
      <c r="P347" s="22"/>
      <c r="Q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H347" s="22"/>
      <c r="AI347" s="22"/>
      <c r="AJ347" s="22"/>
      <c r="AK347" s="22"/>
    </row>
    <row r="348" spans="1:37" ht="15.75" customHeight="1" x14ac:dyDescent="0.25">
      <c r="A348" s="22"/>
      <c r="B348" s="22"/>
      <c r="C348" s="22"/>
      <c r="D348" s="22"/>
      <c r="E348" s="22"/>
      <c r="H348" s="22"/>
      <c r="I348" s="22"/>
      <c r="J348" s="22"/>
      <c r="K348" s="22"/>
      <c r="N348" s="22"/>
      <c r="O348" s="22"/>
      <c r="P348" s="22"/>
      <c r="Q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H348" s="22"/>
      <c r="AI348" s="22"/>
      <c r="AJ348" s="22"/>
      <c r="AK348" s="22"/>
    </row>
    <row r="349" spans="1:37" ht="15.75" customHeight="1" x14ac:dyDescent="0.25">
      <c r="A349" s="22"/>
      <c r="B349" s="22"/>
      <c r="C349" s="22"/>
      <c r="D349" s="22"/>
      <c r="E349" s="22"/>
      <c r="H349" s="22"/>
      <c r="I349" s="22"/>
      <c r="J349" s="22"/>
      <c r="K349" s="22"/>
      <c r="N349" s="22"/>
      <c r="O349" s="22"/>
      <c r="P349" s="22"/>
      <c r="Q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H349" s="22"/>
      <c r="AI349" s="22"/>
      <c r="AJ349" s="22"/>
      <c r="AK349" s="22"/>
    </row>
    <row r="350" spans="1:37" ht="15.75" customHeight="1" x14ac:dyDescent="0.25">
      <c r="A350" s="22"/>
      <c r="B350" s="22"/>
      <c r="C350" s="22"/>
      <c r="D350" s="22"/>
      <c r="E350" s="22"/>
      <c r="H350" s="22"/>
      <c r="I350" s="22"/>
      <c r="J350" s="22"/>
      <c r="K350" s="22"/>
      <c r="N350" s="22"/>
      <c r="O350" s="22"/>
      <c r="P350" s="22"/>
      <c r="Q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H350" s="22"/>
      <c r="AI350" s="22"/>
      <c r="AJ350" s="22"/>
      <c r="AK350" s="22"/>
    </row>
    <row r="351" spans="1:37" ht="15.75" customHeight="1" x14ac:dyDescent="0.25">
      <c r="A351" s="22"/>
      <c r="B351" s="22"/>
      <c r="C351" s="22"/>
      <c r="D351" s="22"/>
      <c r="E351" s="22"/>
      <c r="H351" s="22"/>
      <c r="I351" s="22"/>
      <c r="J351" s="22"/>
      <c r="K351" s="22"/>
      <c r="N351" s="22"/>
      <c r="O351" s="22"/>
      <c r="P351" s="22"/>
      <c r="Q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H351" s="22"/>
      <c r="AI351" s="22"/>
      <c r="AJ351" s="22"/>
      <c r="AK351" s="22"/>
    </row>
    <row r="352" spans="1:37" ht="15.75" customHeight="1" x14ac:dyDescent="0.25">
      <c r="A352" s="22"/>
      <c r="B352" s="22"/>
      <c r="C352" s="22"/>
      <c r="D352" s="22"/>
      <c r="E352" s="22"/>
      <c r="H352" s="22"/>
      <c r="I352" s="22"/>
      <c r="J352" s="22"/>
      <c r="K352" s="22"/>
      <c r="N352" s="22"/>
      <c r="O352" s="22"/>
      <c r="P352" s="22"/>
      <c r="Q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H352" s="22"/>
      <c r="AI352" s="22"/>
      <c r="AJ352" s="22"/>
      <c r="AK352" s="22"/>
    </row>
    <row r="353" spans="1:37" ht="15.75" customHeight="1" x14ac:dyDescent="0.25">
      <c r="A353" s="22"/>
      <c r="B353" s="22"/>
      <c r="C353" s="22"/>
      <c r="D353" s="22"/>
      <c r="E353" s="22"/>
      <c r="H353" s="22"/>
      <c r="I353" s="22"/>
      <c r="J353" s="22"/>
      <c r="K353" s="22"/>
      <c r="N353" s="22"/>
      <c r="O353" s="22"/>
      <c r="P353" s="22"/>
      <c r="Q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H353" s="22"/>
      <c r="AI353" s="22"/>
      <c r="AJ353" s="22"/>
      <c r="AK353" s="22"/>
    </row>
    <row r="354" spans="1:37" ht="15.75" customHeight="1" x14ac:dyDescent="0.25">
      <c r="A354" s="22"/>
      <c r="B354" s="22"/>
      <c r="C354" s="22"/>
      <c r="D354" s="22"/>
      <c r="E354" s="22"/>
      <c r="H354" s="22"/>
      <c r="I354" s="22"/>
      <c r="J354" s="22"/>
      <c r="K354" s="22"/>
      <c r="N354" s="22"/>
      <c r="O354" s="22"/>
      <c r="P354" s="22"/>
      <c r="Q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H354" s="22"/>
      <c r="AI354" s="22"/>
      <c r="AJ354" s="22"/>
      <c r="AK354" s="22"/>
    </row>
    <row r="355" spans="1:37" ht="15.75" customHeight="1" x14ac:dyDescent="0.25">
      <c r="A355" s="22"/>
      <c r="B355" s="22"/>
      <c r="C355" s="22"/>
      <c r="D355" s="22"/>
      <c r="E355" s="22"/>
      <c r="H355" s="22"/>
      <c r="I355" s="22"/>
      <c r="J355" s="22"/>
      <c r="K355" s="22"/>
      <c r="N355" s="22"/>
      <c r="O355" s="22"/>
      <c r="P355" s="22"/>
      <c r="Q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H355" s="22"/>
      <c r="AI355" s="22"/>
      <c r="AJ355" s="22"/>
      <c r="AK355" s="22"/>
    </row>
    <row r="356" spans="1:37" ht="15.75" customHeight="1" x14ac:dyDescent="0.25">
      <c r="A356" s="22"/>
      <c r="B356" s="22"/>
      <c r="C356" s="22"/>
      <c r="D356" s="22"/>
      <c r="E356" s="22"/>
      <c r="H356" s="22"/>
      <c r="I356" s="22"/>
      <c r="J356" s="22"/>
      <c r="K356" s="22"/>
      <c r="N356" s="22"/>
      <c r="O356" s="22"/>
      <c r="P356" s="22"/>
      <c r="Q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H356" s="22"/>
      <c r="AI356" s="22"/>
      <c r="AJ356" s="22"/>
      <c r="AK356" s="22"/>
    </row>
    <row r="357" spans="1:37" ht="15.75" customHeight="1" x14ac:dyDescent="0.25">
      <c r="A357" s="22"/>
      <c r="B357" s="22"/>
      <c r="C357" s="22"/>
      <c r="D357" s="22"/>
      <c r="E357" s="22"/>
      <c r="H357" s="22"/>
      <c r="I357" s="22"/>
      <c r="J357" s="22"/>
      <c r="K357" s="22"/>
      <c r="N357" s="22"/>
      <c r="O357" s="22"/>
      <c r="P357" s="22"/>
      <c r="Q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H357" s="22"/>
      <c r="AI357" s="22"/>
      <c r="AJ357" s="22"/>
      <c r="AK357" s="22"/>
    </row>
    <row r="358" spans="1:37" ht="15.75" customHeight="1" x14ac:dyDescent="0.25">
      <c r="A358" s="22"/>
      <c r="B358" s="22"/>
      <c r="C358" s="22"/>
      <c r="D358" s="22"/>
      <c r="E358" s="22"/>
      <c r="H358" s="22"/>
      <c r="I358" s="22"/>
      <c r="J358" s="22"/>
      <c r="K358" s="22"/>
      <c r="N358" s="22"/>
      <c r="O358" s="22"/>
      <c r="P358" s="22"/>
      <c r="Q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H358" s="22"/>
      <c r="AI358" s="22"/>
      <c r="AJ358" s="22"/>
      <c r="AK358" s="22"/>
    </row>
    <row r="359" spans="1:37" ht="15.75" customHeight="1" x14ac:dyDescent="0.25">
      <c r="A359" s="22"/>
      <c r="B359" s="22"/>
      <c r="C359" s="22"/>
      <c r="D359" s="22"/>
      <c r="E359" s="22"/>
      <c r="H359" s="22"/>
      <c r="I359" s="22"/>
      <c r="J359" s="22"/>
      <c r="K359" s="22"/>
      <c r="N359" s="22"/>
      <c r="O359" s="22"/>
      <c r="P359" s="22"/>
      <c r="Q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H359" s="22"/>
      <c r="AI359" s="22"/>
      <c r="AJ359" s="22"/>
      <c r="AK359" s="22"/>
    </row>
    <row r="360" spans="1:37" ht="15.75" customHeight="1" x14ac:dyDescent="0.25">
      <c r="A360" s="22"/>
      <c r="B360" s="22"/>
      <c r="C360" s="22"/>
      <c r="D360" s="22"/>
      <c r="E360" s="22"/>
      <c r="H360" s="22"/>
      <c r="I360" s="22"/>
      <c r="J360" s="22"/>
      <c r="K360" s="22"/>
      <c r="N360" s="22"/>
      <c r="O360" s="22"/>
      <c r="P360" s="22"/>
      <c r="Q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H360" s="22"/>
      <c r="AI360" s="22"/>
      <c r="AJ360" s="22"/>
      <c r="AK360" s="22"/>
    </row>
    <row r="361" spans="1:37" ht="15.75" customHeight="1" x14ac:dyDescent="0.25">
      <c r="A361" s="22"/>
      <c r="B361" s="22"/>
      <c r="C361" s="22"/>
      <c r="D361" s="22"/>
      <c r="E361" s="22"/>
      <c r="H361" s="22"/>
      <c r="I361" s="22"/>
      <c r="J361" s="22"/>
      <c r="K361" s="22"/>
      <c r="N361" s="22"/>
      <c r="O361" s="22"/>
      <c r="P361" s="22"/>
      <c r="Q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H361" s="22"/>
      <c r="AI361" s="22"/>
      <c r="AJ361" s="22"/>
      <c r="AK361" s="22"/>
    </row>
    <row r="362" spans="1:37" ht="15.75" customHeight="1" x14ac:dyDescent="0.25">
      <c r="A362" s="22"/>
      <c r="B362" s="22"/>
      <c r="C362" s="22"/>
      <c r="D362" s="22"/>
      <c r="E362" s="22"/>
      <c r="H362" s="22"/>
      <c r="I362" s="22"/>
      <c r="J362" s="22"/>
      <c r="K362" s="22"/>
      <c r="N362" s="22"/>
      <c r="O362" s="22"/>
      <c r="P362" s="22"/>
      <c r="Q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H362" s="22"/>
      <c r="AI362" s="22"/>
      <c r="AJ362" s="22"/>
      <c r="AK362" s="22"/>
    </row>
    <row r="363" spans="1:37" ht="15.75" customHeight="1" x14ac:dyDescent="0.25">
      <c r="A363" s="22"/>
      <c r="B363" s="22"/>
      <c r="C363" s="22"/>
      <c r="D363" s="22"/>
      <c r="E363" s="22"/>
      <c r="H363" s="22"/>
      <c r="I363" s="22"/>
      <c r="J363" s="22"/>
      <c r="K363" s="22"/>
      <c r="N363" s="22"/>
      <c r="O363" s="22"/>
      <c r="P363" s="22"/>
      <c r="Q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H363" s="22"/>
      <c r="AI363" s="22"/>
      <c r="AJ363" s="22"/>
      <c r="AK363" s="22"/>
    </row>
    <row r="364" spans="1:37" ht="15.75" customHeight="1" x14ac:dyDescent="0.25">
      <c r="A364" s="22"/>
      <c r="B364" s="22"/>
      <c r="C364" s="22"/>
      <c r="D364" s="22"/>
      <c r="E364" s="22"/>
      <c r="H364" s="22"/>
      <c r="I364" s="22"/>
      <c r="J364" s="22"/>
      <c r="K364" s="22"/>
      <c r="N364" s="22"/>
      <c r="O364" s="22"/>
      <c r="P364" s="22"/>
      <c r="Q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H364" s="22"/>
      <c r="AI364" s="22"/>
      <c r="AJ364" s="22"/>
      <c r="AK364" s="22"/>
    </row>
    <row r="365" spans="1:37" ht="15.75" customHeight="1" x14ac:dyDescent="0.25">
      <c r="A365" s="22"/>
      <c r="B365" s="22"/>
      <c r="C365" s="22"/>
      <c r="D365" s="22"/>
      <c r="E365" s="22"/>
      <c r="H365" s="22"/>
      <c r="I365" s="22"/>
      <c r="J365" s="22"/>
      <c r="K365" s="22"/>
      <c r="N365" s="22"/>
      <c r="O365" s="22"/>
      <c r="P365" s="22"/>
      <c r="Q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H365" s="22"/>
      <c r="AI365" s="22"/>
      <c r="AJ365" s="22"/>
      <c r="AK365" s="22"/>
    </row>
    <row r="366" spans="1:37" ht="15.75" customHeight="1" x14ac:dyDescent="0.25">
      <c r="A366" s="22"/>
      <c r="B366" s="22"/>
      <c r="C366" s="22"/>
      <c r="D366" s="22"/>
      <c r="E366" s="22"/>
      <c r="H366" s="22"/>
      <c r="I366" s="22"/>
      <c r="J366" s="22"/>
      <c r="K366" s="22"/>
      <c r="N366" s="22"/>
      <c r="O366" s="22"/>
      <c r="P366" s="22"/>
      <c r="Q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H366" s="22"/>
      <c r="AI366" s="22"/>
      <c r="AJ366" s="22"/>
      <c r="AK366" s="22"/>
    </row>
    <row r="367" spans="1:37" ht="15.75" customHeight="1" x14ac:dyDescent="0.25">
      <c r="A367" s="22"/>
      <c r="B367" s="22"/>
      <c r="C367" s="22"/>
      <c r="D367" s="22"/>
      <c r="E367" s="22"/>
      <c r="H367" s="22"/>
      <c r="I367" s="22"/>
      <c r="J367" s="22"/>
      <c r="K367" s="22"/>
      <c r="N367" s="22"/>
      <c r="O367" s="22"/>
      <c r="P367" s="22"/>
      <c r="Q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H367" s="22"/>
      <c r="AI367" s="22"/>
      <c r="AJ367" s="22"/>
      <c r="AK367" s="22"/>
    </row>
    <row r="368" spans="1:37" ht="15.75" customHeight="1" x14ac:dyDescent="0.25">
      <c r="A368" s="22"/>
      <c r="B368" s="22"/>
      <c r="C368" s="22"/>
      <c r="D368" s="22"/>
      <c r="E368" s="22"/>
      <c r="H368" s="22"/>
      <c r="I368" s="22"/>
      <c r="J368" s="22"/>
      <c r="K368" s="22"/>
      <c r="N368" s="22"/>
      <c r="O368" s="22"/>
      <c r="P368" s="22"/>
      <c r="Q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H368" s="22"/>
      <c r="AI368" s="22"/>
      <c r="AJ368" s="22"/>
      <c r="AK368" s="22"/>
    </row>
    <row r="369" spans="1:37" ht="15.75" customHeight="1" x14ac:dyDescent="0.25">
      <c r="A369" s="22"/>
      <c r="B369" s="22"/>
      <c r="C369" s="22"/>
      <c r="D369" s="22"/>
      <c r="E369" s="22"/>
      <c r="H369" s="22"/>
      <c r="I369" s="22"/>
      <c r="J369" s="22"/>
      <c r="K369" s="22"/>
      <c r="N369" s="22"/>
      <c r="O369" s="22"/>
      <c r="P369" s="22"/>
      <c r="Q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H369" s="22"/>
      <c r="AI369" s="22"/>
      <c r="AJ369" s="22"/>
      <c r="AK369" s="22"/>
    </row>
    <row r="370" spans="1:37" ht="15.75" customHeight="1" x14ac:dyDescent="0.25">
      <c r="A370" s="22"/>
      <c r="B370" s="22"/>
      <c r="C370" s="22"/>
      <c r="D370" s="22"/>
      <c r="E370" s="22"/>
      <c r="H370" s="22"/>
      <c r="I370" s="22"/>
      <c r="J370" s="22"/>
      <c r="K370" s="22"/>
      <c r="N370" s="22"/>
      <c r="O370" s="22"/>
      <c r="P370" s="22"/>
      <c r="Q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H370" s="22"/>
      <c r="AI370" s="22"/>
      <c r="AJ370" s="22"/>
      <c r="AK370" s="22"/>
    </row>
    <row r="371" spans="1:37" ht="15.75" customHeight="1" x14ac:dyDescent="0.25">
      <c r="A371" s="22"/>
      <c r="B371" s="22"/>
      <c r="C371" s="22"/>
      <c r="D371" s="22"/>
      <c r="E371" s="22"/>
      <c r="H371" s="22"/>
      <c r="I371" s="22"/>
      <c r="J371" s="22"/>
      <c r="K371" s="22"/>
      <c r="N371" s="22"/>
      <c r="O371" s="22"/>
      <c r="P371" s="22"/>
      <c r="Q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H371" s="22"/>
      <c r="AI371" s="22"/>
      <c r="AJ371" s="22"/>
      <c r="AK371" s="22"/>
    </row>
    <row r="372" spans="1:37" ht="15.75" customHeight="1" x14ac:dyDescent="0.25">
      <c r="A372" s="22"/>
      <c r="B372" s="22"/>
      <c r="C372" s="22"/>
      <c r="D372" s="22"/>
      <c r="E372" s="22"/>
      <c r="H372" s="22"/>
      <c r="I372" s="22"/>
      <c r="J372" s="22"/>
      <c r="K372" s="22"/>
      <c r="N372" s="22"/>
      <c r="O372" s="22"/>
      <c r="P372" s="22"/>
      <c r="Q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H372" s="22"/>
      <c r="AI372" s="22"/>
      <c r="AJ372" s="22"/>
      <c r="AK372" s="22"/>
    </row>
    <row r="373" spans="1:37" ht="15.75" customHeight="1" x14ac:dyDescent="0.25">
      <c r="A373" s="22"/>
      <c r="B373" s="22"/>
      <c r="C373" s="22"/>
      <c r="D373" s="22"/>
      <c r="E373" s="22"/>
      <c r="H373" s="22"/>
      <c r="I373" s="22"/>
      <c r="J373" s="22"/>
      <c r="K373" s="22"/>
      <c r="N373" s="22"/>
      <c r="O373" s="22"/>
      <c r="P373" s="22"/>
      <c r="Q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H373" s="22"/>
      <c r="AI373" s="22"/>
      <c r="AJ373" s="22"/>
      <c r="AK373" s="22"/>
    </row>
    <row r="374" spans="1:37" ht="15.75" customHeight="1" x14ac:dyDescent="0.25">
      <c r="A374" s="22"/>
      <c r="B374" s="22"/>
      <c r="C374" s="22"/>
      <c r="D374" s="22"/>
      <c r="E374" s="22"/>
      <c r="H374" s="22"/>
      <c r="I374" s="22"/>
      <c r="J374" s="22"/>
      <c r="K374" s="22"/>
      <c r="N374" s="22"/>
      <c r="O374" s="22"/>
      <c r="P374" s="22"/>
      <c r="Q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H374" s="22"/>
      <c r="AI374" s="22"/>
      <c r="AJ374" s="22"/>
      <c r="AK374" s="22"/>
    </row>
    <row r="375" spans="1:37" ht="15.75" customHeight="1" x14ac:dyDescent="0.25">
      <c r="A375" s="22"/>
      <c r="B375" s="22"/>
      <c r="C375" s="22"/>
      <c r="D375" s="22"/>
      <c r="E375" s="22"/>
      <c r="H375" s="22"/>
      <c r="I375" s="22"/>
      <c r="J375" s="22"/>
      <c r="K375" s="22"/>
      <c r="N375" s="22"/>
      <c r="O375" s="22"/>
      <c r="P375" s="22"/>
      <c r="Q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H375" s="22"/>
      <c r="AI375" s="22"/>
      <c r="AJ375" s="22"/>
      <c r="AK375" s="22"/>
    </row>
    <row r="376" spans="1:37" ht="15.75" customHeight="1" x14ac:dyDescent="0.25">
      <c r="A376" s="22"/>
      <c r="B376" s="22"/>
      <c r="C376" s="22"/>
      <c r="D376" s="22"/>
      <c r="E376" s="22"/>
      <c r="H376" s="22"/>
      <c r="I376" s="22"/>
      <c r="J376" s="22"/>
      <c r="K376" s="22"/>
      <c r="N376" s="22"/>
      <c r="O376" s="22"/>
      <c r="P376" s="22"/>
      <c r="Q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H376" s="22"/>
      <c r="AI376" s="22"/>
      <c r="AJ376" s="22"/>
      <c r="AK376" s="22"/>
    </row>
    <row r="377" spans="1:37" ht="15.75" customHeight="1" x14ac:dyDescent="0.25">
      <c r="A377" s="22"/>
      <c r="B377" s="22"/>
      <c r="C377" s="22"/>
      <c r="D377" s="22"/>
      <c r="E377" s="22"/>
      <c r="H377" s="22"/>
      <c r="I377" s="22"/>
      <c r="J377" s="22"/>
      <c r="K377" s="22"/>
      <c r="N377" s="22"/>
      <c r="O377" s="22"/>
      <c r="P377" s="22"/>
      <c r="Q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H377" s="22"/>
      <c r="AI377" s="22"/>
      <c r="AJ377" s="22"/>
      <c r="AK377" s="22"/>
    </row>
    <row r="378" spans="1:37" ht="15.75" customHeight="1" x14ac:dyDescent="0.25">
      <c r="A378" s="22"/>
      <c r="B378" s="22"/>
      <c r="C378" s="22"/>
      <c r="D378" s="22"/>
      <c r="E378" s="22"/>
      <c r="H378" s="22"/>
      <c r="I378" s="22"/>
      <c r="J378" s="22"/>
      <c r="K378" s="22"/>
      <c r="N378" s="22"/>
      <c r="O378" s="22"/>
      <c r="P378" s="22"/>
      <c r="Q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H378" s="22"/>
      <c r="AI378" s="22"/>
      <c r="AJ378" s="22"/>
      <c r="AK378" s="22"/>
    </row>
    <row r="379" spans="1:37" ht="15.75" customHeight="1" x14ac:dyDescent="0.25">
      <c r="A379" s="22"/>
      <c r="B379" s="22"/>
      <c r="C379" s="22"/>
      <c r="D379" s="22"/>
      <c r="E379" s="22"/>
      <c r="H379" s="22"/>
      <c r="I379" s="22"/>
      <c r="J379" s="22"/>
      <c r="K379" s="22"/>
      <c r="N379" s="22"/>
      <c r="O379" s="22"/>
      <c r="P379" s="22"/>
      <c r="Q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H379" s="22"/>
      <c r="AI379" s="22"/>
      <c r="AJ379" s="22"/>
      <c r="AK379" s="22"/>
    </row>
    <row r="380" spans="1:37" ht="15.75" customHeight="1" x14ac:dyDescent="0.25">
      <c r="A380" s="22"/>
      <c r="B380" s="22"/>
      <c r="C380" s="22"/>
      <c r="D380" s="22"/>
      <c r="E380" s="22"/>
      <c r="H380" s="22"/>
      <c r="I380" s="22"/>
      <c r="J380" s="22"/>
      <c r="K380" s="22"/>
      <c r="N380" s="22"/>
      <c r="O380" s="22"/>
      <c r="P380" s="22"/>
      <c r="Q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H380" s="22"/>
      <c r="AI380" s="22"/>
      <c r="AJ380" s="22"/>
      <c r="AK380" s="22"/>
    </row>
    <row r="381" spans="1:37" ht="15.75" customHeight="1" x14ac:dyDescent="0.25">
      <c r="A381" s="22"/>
      <c r="B381" s="22"/>
      <c r="C381" s="22"/>
      <c r="D381" s="22"/>
      <c r="E381" s="22"/>
      <c r="H381" s="22"/>
      <c r="I381" s="22"/>
      <c r="J381" s="22"/>
      <c r="K381" s="22"/>
      <c r="N381" s="22"/>
      <c r="O381" s="22"/>
      <c r="P381" s="22"/>
      <c r="Q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H381" s="22"/>
      <c r="AI381" s="22"/>
      <c r="AJ381" s="22"/>
      <c r="AK381" s="22"/>
    </row>
    <row r="382" spans="1:37" ht="15.75" customHeight="1" x14ac:dyDescent="0.25">
      <c r="A382" s="22"/>
      <c r="B382" s="22"/>
      <c r="C382" s="22"/>
      <c r="D382" s="22"/>
      <c r="E382" s="22"/>
      <c r="H382" s="22"/>
      <c r="I382" s="22"/>
      <c r="J382" s="22"/>
      <c r="K382" s="22"/>
      <c r="N382" s="22"/>
      <c r="O382" s="22"/>
      <c r="P382" s="22"/>
      <c r="Q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H382" s="22"/>
      <c r="AI382" s="22"/>
      <c r="AJ382" s="22"/>
      <c r="AK382" s="22"/>
    </row>
    <row r="383" spans="1:37" ht="15.75" customHeight="1" x14ac:dyDescent="0.25">
      <c r="A383" s="22"/>
      <c r="B383" s="22"/>
      <c r="C383" s="22"/>
      <c r="D383" s="22"/>
      <c r="E383" s="22"/>
      <c r="H383" s="22"/>
      <c r="I383" s="22"/>
      <c r="J383" s="22"/>
      <c r="K383" s="22"/>
      <c r="N383" s="22"/>
      <c r="O383" s="22"/>
      <c r="P383" s="22"/>
      <c r="Q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H383" s="22"/>
      <c r="AI383" s="22"/>
      <c r="AJ383" s="22"/>
      <c r="AK383" s="22"/>
    </row>
    <row r="384" spans="1:37" ht="15.75" customHeight="1" x14ac:dyDescent="0.25">
      <c r="A384" s="22"/>
      <c r="B384" s="22"/>
      <c r="C384" s="22"/>
      <c r="D384" s="22"/>
      <c r="E384" s="22"/>
      <c r="H384" s="22"/>
      <c r="I384" s="22"/>
      <c r="J384" s="22"/>
      <c r="K384" s="22"/>
      <c r="N384" s="22"/>
      <c r="O384" s="22"/>
      <c r="P384" s="22"/>
      <c r="Q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H384" s="22"/>
      <c r="AI384" s="22"/>
      <c r="AJ384" s="22"/>
      <c r="AK384" s="22"/>
    </row>
    <row r="385" spans="1:37" ht="15.75" customHeight="1" x14ac:dyDescent="0.25">
      <c r="A385" s="22"/>
      <c r="B385" s="22"/>
      <c r="C385" s="22"/>
      <c r="D385" s="22"/>
      <c r="E385" s="22"/>
      <c r="H385" s="22"/>
      <c r="I385" s="22"/>
      <c r="J385" s="22"/>
      <c r="K385" s="22"/>
      <c r="N385" s="22"/>
      <c r="O385" s="22"/>
      <c r="P385" s="22"/>
      <c r="Q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H385" s="22"/>
      <c r="AI385" s="22"/>
      <c r="AJ385" s="22"/>
      <c r="AK385" s="22"/>
    </row>
    <row r="386" spans="1:37" ht="15.75" customHeight="1" x14ac:dyDescent="0.25">
      <c r="A386" s="22"/>
      <c r="B386" s="22"/>
      <c r="C386" s="22"/>
      <c r="D386" s="22"/>
      <c r="E386" s="22"/>
      <c r="H386" s="22"/>
      <c r="I386" s="22"/>
      <c r="J386" s="22"/>
      <c r="K386" s="22"/>
      <c r="N386" s="22"/>
      <c r="O386" s="22"/>
      <c r="P386" s="22"/>
      <c r="Q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H386" s="22"/>
      <c r="AI386" s="22"/>
      <c r="AJ386" s="22"/>
      <c r="AK386" s="22"/>
    </row>
    <row r="387" spans="1:37" ht="15.75" customHeight="1" x14ac:dyDescent="0.25">
      <c r="A387" s="22"/>
      <c r="B387" s="22"/>
      <c r="C387" s="22"/>
      <c r="D387" s="22"/>
      <c r="E387" s="22"/>
      <c r="H387" s="22"/>
      <c r="I387" s="22"/>
      <c r="J387" s="22"/>
      <c r="K387" s="22"/>
      <c r="N387" s="22"/>
      <c r="O387" s="22"/>
      <c r="P387" s="22"/>
      <c r="Q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H387" s="22"/>
      <c r="AI387" s="22"/>
      <c r="AJ387" s="22"/>
      <c r="AK387" s="22"/>
    </row>
    <row r="388" spans="1:37" ht="15.75" customHeight="1" x14ac:dyDescent="0.25">
      <c r="A388" s="22"/>
      <c r="B388" s="22"/>
      <c r="C388" s="22"/>
      <c r="D388" s="22"/>
      <c r="E388" s="22"/>
      <c r="H388" s="22"/>
      <c r="I388" s="22"/>
      <c r="J388" s="22"/>
      <c r="K388" s="22"/>
      <c r="N388" s="22"/>
      <c r="O388" s="22"/>
      <c r="P388" s="22"/>
      <c r="Q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H388" s="22"/>
      <c r="AI388" s="22"/>
      <c r="AJ388" s="22"/>
      <c r="AK388" s="22"/>
    </row>
    <row r="389" spans="1:37" ht="15.75" customHeight="1" x14ac:dyDescent="0.25">
      <c r="A389" s="22"/>
      <c r="B389" s="22"/>
      <c r="C389" s="22"/>
      <c r="D389" s="22"/>
      <c r="E389" s="22"/>
      <c r="H389" s="22"/>
      <c r="I389" s="22"/>
      <c r="J389" s="22"/>
      <c r="K389" s="22"/>
      <c r="N389" s="22"/>
      <c r="O389" s="22"/>
      <c r="P389" s="22"/>
      <c r="Q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H389" s="22"/>
      <c r="AI389" s="22"/>
      <c r="AJ389" s="22"/>
      <c r="AK389" s="22"/>
    </row>
    <row r="390" spans="1:37" ht="15.75" customHeight="1" x14ac:dyDescent="0.25">
      <c r="A390" s="22"/>
      <c r="B390" s="22"/>
      <c r="C390" s="22"/>
      <c r="D390" s="22"/>
      <c r="E390" s="22"/>
      <c r="H390" s="22"/>
      <c r="I390" s="22"/>
      <c r="J390" s="22"/>
      <c r="K390" s="22"/>
      <c r="N390" s="22"/>
      <c r="O390" s="22"/>
      <c r="P390" s="22"/>
      <c r="Q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H390" s="22"/>
      <c r="AI390" s="22"/>
      <c r="AJ390" s="22"/>
      <c r="AK390" s="22"/>
    </row>
    <row r="391" spans="1:37" ht="15.75" customHeight="1" x14ac:dyDescent="0.25">
      <c r="A391" s="22"/>
      <c r="B391" s="22"/>
      <c r="C391" s="22"/>
      <c r="D391" s="22"/>
      <c r="E391" s="22"/>
      <c r="H391" s="22"/>
      <c r="I391" s="22"/>
      <c r="J391" s="22"/>
      <c r="K391" s="22"/>
      <c r="N391" s="22"/>
      <c r="O391" s="22"/>
      <c r="P391" s="22"/>
      <c r="Q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H391" s="22"/>
      <c r="AI391" s="22"/>
      <c r="AJ391" s="22"/>
      <c r="AK391" s="22"/>
    </row>
    <row r="392" spans="1:37" ht="15.75" customHeight="1" x14ac:dyDescent="0.25">
      <c r="A392" s="22"/>
      <c r="B392" s="22"/>
      <c r="C392" s="22"/>
      <c r="D392" s="22"/>
      <c r="E392" s="22"/>
      <c r="H392" s="22"/>
      <c r="I392" s="22"/>
      <c r="J392" s="22"/>
      <c r="K392" s="22"/>
      <c r="N392" s="22"/>
      <c r="O392" s="22"/>
      <c r="P392" s="22"/>
      <c r="Q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H392" s="22"/>
      <c r="AI392" s="22"/>
      <c r="AJ392" s="22"/>
      <c r="AK392" s="22"/>
    </row>
    <row r="393" spans="1:37" ht="15.75" customHeight="1" x14ac:dyDescent="0.25">
      <c r="A393" s="22"/>
      <c r="B393" s="22"/>
      <c r="C393" s="22"/>
      <c r="D393" s="22"/>
      <c r="E393" s="22"/>
      <c r="H393" s="22"/>
      <c r="I393" s="22"/>
      <c r="J393" s="22"/>
      <c r="K393" s="22"/>
      <c r="N393" s="22"/>
      <c r="O393" s="22"/>
      <c r="P393" s="22"/>
      <c r="Q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H393" s="22"/>
      <c r="AI393" s="22"/>
      <c r="AJ393" s="22"/>
      <c r="AK393" s="22"/>
    </row>
    <row r="394" spans="1:37" ht="15.75" customHeight="1" x14ac:dyDescent="0.25">
      <c r="A394" s="22"/>
      <c r="B394" s="22"/>
      <c r="C394" s="22"/>
      <c r="D394" s="22"/>
      <c r="E394" s="22"/>
      <c r="H394" s="22"/>
      <c r="I394" s="22"/>
      <c r="J394" s="22"/>
      <c r="K394" s="22"/>
      <c r="N394" s="22"/>
      <c r="O394" s="22"/>
      <c r="P394" s="22"/>
      <c r="Q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H394" s="22"/>
      <c r="AI394" s="22"/>
      <c r="AJ394" s="22"/>
      <c r="AK394" s="22"/>
    </row>
    <row r="395" spans="1:37" ht="15.75" customHeight="1" x14ac:dyDescent="0.25">
      <c r="A395" s="22"/>
      <c r="B395" s="22"/>
      <c r="C395" s="22"/>
      <c r="D395" s="22"/>
      <c r="E395" s="22"/>
      <c r="H395" s="22"/>
      <c r="I395" s="22"/>
      <c r="J395" s="22"/>
      <c r="K395" s="22"/>
      <c r="N395" s="22"/>
      <c r="O395" s="22"/>
      <c r="P395" s="22"/>
      <c r="Q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H395" s="22"/>
      <c r="AI395" s="22"/>
      <c r="AJ395" s="22"/>
      <c r="AK395" s="22"/>
    </row>
    <row r="396" spans="1:37" ht="15.75" customHeight="1" x14ac:dyDescent="0.25">
      <c r="A396" s="22"/>
      <c r="B396" s="22"/>
      <c r="C396" s="22"/>
      <c r="D396" s="22"/>
      <c r="E396" s="22"/>
      <c r="H396" s="22"/>
      <c r="I396" s="22"/>
      <c r="J396" s="22"/>
      <c r="K396" s="22"/>
      <c r="N396" s="22"/>
      <c r="O396" s="22"/>
      <c r="P396" s="22"/>
      <c r="Q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H396" s="22"/>
      <c r="AI396" s="22"/>
      <c r="AJ396" s="22"/>
      <c r="AK396" s="22"/>
    </row>
    <row r="397" spans="1:37" ht="15.75" customHeight="1" x14ac:dyDescent="0.25">
      <c r="A397" s="22"/>
      <c r="B397" s="22"/>
      <c r="C397" s="22"/>
      <c r="D397" s="22"/>
      <c r="E397" s="22"/>
      <c r="H397" s="22"/>
      <c r="I397" s="22"/>
      <c r="J397" s="22"/>
      <c r="K397" s="22"/>
      <c r="N397" s="22"/>
      <c r="O397" s="22"/>
      <c r="P397" s="22"/>
      <c r="Q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H397" s="22"/>
      <c r="AI397" s="22"/>
      <c r="AJ397" s="22"/>
      <c r="AK397" s="22"/>
    </row>
    <row r="398" spans="1:37" ht="15.75" customHeight="1" x14ac:dyDescent="0.25">
      <c r="A398" s="22"/>
      <c r="B398" s="22"/>
      <c r="C398" s="22"/>
      <c r="D398" s="22"/>
      <c r="E398" s="22"/>
      <c r="H398" s="22"/>
      <c r="I398" s="22"/>
      <c r="J398" s="22"/>
      <c r="K398" s="22"/>
      <c r="N398" s="22"/>
      <c r="O398" s="22"/>
      <c r="P398" s="22"/>
      <c r="Q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H398" s="22"/>
      <c r="AI398" s="22"/>
      <c r="AJ398" s="22"/>
      <c r="AK398" s="22"/>
    </row>
    <row r="399" spans="1:37" ht="15.75" customHeight="1" x14ac:dyDescent="0.25">
      <c r="A399" s="22"/>
      <c r="B399" s="22"/>
      <c r="C399" s="22"/>
      <c r="D399" s="22"/>
      <c r="E399" s="22"/>
      <c r="H399" s="22"/>
      <c r="I399" s="22"/>
      <c r="J399" s="22"/>
      <c r="K399" s="22"/>
      <c r="N399" s="22"/>
      <c r="O399" s="22"/>
      <c r="P399" s="22"/>
      <c r="Q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H399" s="22"/>
      <c r="AI399" s="22"/>
      <c r="AJ399" s="22"/>
      <c r="AK399" s="22"/>
    </row>
    <row r="400" spans="1:37" ht="15.75" customHeight="1" x14ac:dyDescent="0.25">
      <c r="A400" s="22"/>
      <c r="B400" s="22"/>
      <c r="C400" s="22"/>
      <c r="D400" s="22"/>
      <c r="E400" s="22"/>
      <c r="H400" s="22"/>
      <c r="I400" s="22"/>
      <c r="J400" s="22"/>
      <c r="K400" s="22"/>
      <c r="N400" s="22"/>
      <c r="O400" s="22"/>
      <c r="P400" s="22"/>
      <c r="Q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H400" s="22"/>
      <c r="AI400" s="22"/>
      <c r="AJ400" s="22"/>
      <c r="AK400" s="22"/>
    </row>
    <row r="401" spans="1:37" ht="15.75" customHeight="1" x14ac:dyDescent="0.25">
      <c r="A401" s="22"/>
      <c r="B401" s="22"/>
      <c r="C401" s="22"/>
      <c r="D401" s="22"/>
      <c r="E401" s="22"/>
      <c r="H401" s="22"/>
      <c r="I401" s="22"/>
      <c r="J401" s="22"/>
      <c r="K401" s="22"/>
      <c r="N401" s="22"/>
      <c r="O401" s="22"/>
      <c r="P401" s="22"/>
      <c r="Q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H401" s="22"/>
      <c r="AI401" s="22"/>
      <c r="AJ401" s="22"/>
      <c r="AK401" s="22"/>
    </row>
    <row r="402" spans="1:37" ht="15.75" customHeight="1" x14ac:dyDescent="0.25">
      <c r="A402" s="22"/>
      <c r="B402" s="22"/>
      <c r="C402" s="22"/>
      <c r="D402" s="22"/>
      <c r="E402" s="22"/>
      <c r="H402" s="22"/>
      <c r="I402" s="22"/>
      <c r="J402" s="22"/>
      <c r="K402" s="22"/>
      <c r="N402" s="22"/>
      <c r="O402" s="22"/>
      <c r="P402" s="22"/>
      <c r="Q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H402" s="22"/>
      <c r="AI402" s="22"/>
      <c r="AJ402" s="22"/>
      <c r="AK402" s="22"/>
    </row>
    <row r="403" spans="1:37" ht="15.75" customHeight="1" x14ac:dyDescent="0.25">
      <c r="A403" s="22"/>
      <c r="B403" s="22"/>
      <c r="C403" s="22"/>
      <c r="D403" s="22"/>
      <c r="E403" s="22"/>
      <c r="H403" s="22"/>
      <c r="I403" s="22"/>
      <c r="J403" s="22"/>
      <c r="K403" s="22"/>
      <c r="N403" s="22"/>
      <c r="O403" s="22"/>
      <c r="P403" s="22"/>
      <c r="Q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H403" s="22"/>
      <c r="AI403" s="22"/>
      <c r="AJ403" s="22"/>
      <c r="AK403" s="22"/>
    </row>
    <row r="404" spans="1:37" ht="15.75" customHeight="1" x14ac:dyDescent="0.25">
      <c r="A404" s="22"/>
      <c r="B404" s="22"/>
      <c r="C404" s="22"/>
      <c r="D404" s="22"/>
      <c r="E404" s="22"/>
      <c r="H404" s="22"/>
      <c r="I404" s="22"/>
      <c r="J404" s="22"/>
      <c r="K404" s="22"/>
      <c r="N404" s="22"/>
      <c r="O404" s="22"/>
      <c r="P404" s="22"/>
      <c r="Q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H404" s="22"/>
      <c r="AI404" s="22"/>
      <c r="AJ404" s="22"/>
      <c r="AK404" s="22"/>
    </row>
    <row r="405" spans="1:37" ht="15.75" customHeight="1" x14ac:dyDescent="0.25">
      <c r="A405" s="22"/>
      <c r="B405" s="22"/>
      <c r="C405" s="22"/>
      <c r="D405" s="22"/>
      <c r="E405" s="22"/>
      <c r="H405" s="22"/>
      <c r="I405" s="22"/>
      <c r="J405" s="22"/>
      <c r="K405" s="22"/>
      <c r="N405" s="22"/>
      <c r="O405" s="22"/>
      <c r="P405" s="22"/>
      <c r="Q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H405" s="22"/>
      <c r="AI405" s="22"/>
      <c r="AJ405" s="22"/>
      <c r="AK405" s="22"/>
    </row>
    <row r="406" spans="1:37" ht="15.75" customHeight="1" x14ac:dyDescent="0.25">
      <c r="A406" s="22"/>
      <c r="B406" s="22"/>
      <c r="C406" s="22"/>
      <c r="D406" s="22"/>
      <c r="E406" s="22"/>
      <c r="H406" s="22"/>
      <c r="I406" s="22"/>
      <c r="J406" s="22"/>
      <c r="K406" s="22"/>
      <c r="N406" s="22"/>
      <c r="O406" s="22"/>
      <c r="P406" s="22"/>
      <c r="Q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H406" s="22"/>
      <c r="AI406" s="22"/>
      <c r="AJ406" s="22"/>
      <c r="AK406" s="22"/>
    </row>
    <row r="407" spans="1:37" ht="15.75" customHeight="1" x14ac:dyDescent="0.25">
      <c r="A407" s="22"/>
      <c r="B407" s="22"/>
      <c r="C407" s="22"/>
      <c r="D407" s="22"/>
      <c r="E407" s="22"/>
      <c r="H407" s="22"/>
      <c r="I407" s="22"/>
      <c r="J407" s="22"/>
      <c r="K407" s="22"/>
      <c r="N407" s="22"/>
      <c r="O407" s="22"/>
      <c r="P407" s="22"/>
      <c r="Q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H407" s="22"/>
      <c r="AI407" s="22"/>
      <c r="AJ407" s="22"/>
      <c r="AK407" s="22"/>
    </row>
    <row r="408" spans="1:37" ht="15.75" customHeight="1" x14ac:dyDescent="0.25">
      <c r="A408" s="22"/>
      <c r="B408" s="22"/>
      <c r="C408" s="22"/>
      <c r="D408" s="22"/>
      <c r="E408" s="22"/>
      <c r="H408" s="22"/>
      <c r="I408" s="22"/>
      <c r="J408" s="22"/>
      <c r="K408" s="22"/>
      <c r="N408" s="22"/>
      <c r="O408" s="22"/>
      <c r="P408" s="22"/>
      <c r="Q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H408" s="22"/>
      <c r="AI408" s="22"/>
      <c r="AJ408" s="22"/>
      <c r="AK408" s="22"/>
    </row>
    <row r="409" spans="1:37" ht="15.75" customHeight="1" x14ac:dyDescent="0.25">
      <c r="A409" s="22"/>
      <c r="B409" s="22"/>
      <c r="C409" s="22"/>
      <c r="D409" s="22"/>
      <c r="E409" s="22"/>
      <c r="H409" s="22"/>
      <c r="I409" s="22"/>
      <c r="J409" s="22"/>
      <c r="K409" s="22"/>
      <c r="N409" s="22"/>
      <c r="O409" s="22"/>
      <c r="P409" s="22"/>
      <c r="Q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H409" s="22"/>
      <c r="AI409" s="22"/>
      <c r="AJ409" s="22"/>
      <c r="AK409" s="22"/>
    </row>
    <row r="410" spans="1:37" ht="15.75" customHeight="1" x14ac:dyDescent="0.25">
      <c r="A410" s="22"/>
      <c r="B410" s="22"/>
      <c r="C410" s="22"/>
      <c r="D410" s="22"/>
      <c r="E410" s="22"/>
      <c r="H410" s="22"/>
      <c r="I410" s="22"/>
      <c r="J410" s="22"/>
      <c r="K410" s="22"/>
      <c r="N410" s="22"/>
      <c r="O410" s="22"/>
      <c r="P410" s="22"/>
      <c r="Q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H410" s="22"/>
      <c r="AI410" s="22"/>
      <c r="AJ410" s="22"/>
      <c r="AK410" s="22"/>
    </row>
    <row r="411" spans="1:37" ht="15.75" customHeight="1" x14ac:dyDescent="0.25">
      <c r="A411" s="22"/>
      <c r="B411" s="22"/>
      <c r="C411" s="22"/>
      <c r="D411" s="22"/>
      <c r="E411" s="22"/>
      <c r="H411" s="22"/>
      <c r="I411" s="22"/>
      <c r="J411" s="22"/>
      <c r="K411" s="22"/>
      <c r="N411" s="22"/>
      <c r="O411" s="22"/>
      <c r="P411" s="22"/>
      <c r="Q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H411" s="22"/>
      <c r="AI411" s="22"/>
      <c r="AJ411" s="22"/>
      <c r="AK411" s="22"/>
    </row>
    <row r="412" spans="1:37" ht="15.75" customHeight="1" x14ac:dyDescent="0.25">
      <c r="A412" s="22"/>
      <c r="B412" s="22"/>
      <c r="C412" s="22"/>
      <c r="D412" s="22"/>
      <c r="E412" s="22"/>
      <c r="H412" s="22"/>
      <c r="I412" s="22"/>
      <c r="J412" s="22"/>
      <c r="K412" s="22"/>
      <c r="N412" s="22"/>
      <c r="O412" s="22"/>
      <c r="P412" s="22"/>
      <c r="Q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H412" s="22"/>
      <c r="AI412" s="22"/>
      <c r="AJ412" s="22"/>
      <c r="AK412" s="22"/>
    </row>
    <row r="413" spans="1:37" ht="15.75" customHeight="1" x14ac:dyDescent="0.25">
      <c r="A413" s="22"/>
      <c r="B413" s="22"/>
      <c r="C413" s="22"/>
      <c r="D413" s="22"/>
      <c r="E413" s="22"/>
      <c r="H413" s="22"/>
      <c r="I413" s="22"/>
      <c r="J413" s="22"/>
      <c r="K413" s="22"/>
      <c r="N413" s="22"/>
      <c r="O413" s="22"/>
      <c r="P413" s="22"/>
      <c r="Q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H413" s="22"/>
      <c r="AI413" s="22"/>
      <c r="AJ413" s="22"/>
      <c r="AK413" s="22"/>
    </row>
    <row r="414" spans="1:37" ht="15.75" customHeight="1" x14ac:dyDescent="0.25">
      <c r="A414" s="22"/>
      <c r="B414" s="22"/>
      <c r="C414" s="22"/>
      <c r="D414" s="22"/>
      <c r="E414" s="22"/>
      <c r="H414" s="22"/>
      <c r="I414" s="22"/>
      <c r="J414" s="22"/>
      <c r="K414" s="22"/>
      <c r="N414" s="22"/>
      <c r="O414" s="22"/>
      <c r="P414" s="22"/>
      <c r="Q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H414" s="22"/>
      <c r="AI414" s="22"/>
      <c r="AJ414" s="22"/>
      <c r="AK414" s="22"/>
    </row>
    <row r="415" spans="1:37" ht="15.75" customHeight="1" x14ac:dyDescent="0.25">
      <c r="A415" s="22"/>
      <c r="B415" s="22"/>
      <c r="C415" s="22"/>
      <c r="D415" s="22"/>
      <c r="E415" s="22"/>
      <c r="H415" s="22"/>
      <c r="I415" s="22"/>
      <c r="J415" s="22"/>
      <c r="K415" s="22"/>
      <c r="N415" s="22"/>
      <c r="O415" s="22"/>
      <c r="P415" s="22"/>
      <c r="Q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H415" s="22"/>
      <c r="AI415" s="22"/>
      <c r="AJ415" s="22"/>
      <c r="AK415" s="22"/>
    </row>
    <row r="416" spans="1:37" ht="15.75" customHeight="1" x14ac:dyDescent="0.25">
      <c r="A416" s="22"/>
      <c r="B416" s="22"/>
      <c r="C416" s="22"/>
      <c r="D416" s="22"/>
      <c r="E416" s="22"/>
      <c r="H416" s="22"/>
      <c r="I416" s="22"/>
      <c r="J416" s="22"/>
      <c r="K416" s="22"/>
      <c r="N416" s="22"/>
      <c r="O416" s="22"/>
      <c r="P416" s="22"/>
      <c r="Q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H416" s="22"/>
      <c r="AI416" s="22"/>
      <c r="AJ416" s="22"/>
      <c r="AK416" s="22"/>
    </row>
    <row r="417" spans="1:37" ht="15.75" customHeight="1" x14ac:dyDescent="0.25">
      <c r="A417" s="22"/>
      <c r="B417" s="22"/>
      <c r="C417" s="22"/>
      <c r="D417" s="22"/>
      <c r="E417" s="22"/>
      <c r="H417" s="22"/>
      <c r="I417" s="22"/>
      <c r="J417" s="22"/>
      <c r="K417" s="22"/>
      <c r="N417" s="22"/>
      <c r="O417" s="22"/>
      <c r="P417" s="22"/>
      <c r="Q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H417" s="22"/>
      <c r="AI417" s="22"/>
      <c r="AJ417" s="22"/>
      <c r="AK417" s="22"/>
    </row>
    <row r="418" spans="1:37" ht="15.75" customHeight="1" x14ac:dyDescent="0.25">
      <c r="A418" s="22"/>
      <c r="B418" s="22"/>
      <c r="C418" s="22"/>
      <c r="D418" s="22"/>
      <c r="E418" s="22"/>
      <c r="H418" s="22"/>
      <c r="I418" s="22"/>
      <c r="J418" s="22"/>
      <c r="K418" s="22"/>
      <c r="N418" s="22"/>
      <c r="O418" s="22"/>
      <c r="P418" s="22"/>
      <c r="Q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H418" s="22"/>
      <c r="AI418" s="22"/>
      <c r="AJ418" s="22"/>
      <c r="AK418" s="22"/>
    </row>
    <row r="419" spans="1:37" ht="15.75" customHeight="1" x14ac:dyDescent="0.25">
      <c r="A419" s="22"/>
      <c r="B419" s="22"/>
      <c r="C419" s="22"/>
      <c r="D419" s="22"/>
      <c r="E419" s="22"/>
      <c r="H419" s="22"/>
      <c r="I419" s="22"/>
      <c r="J419" s="22"/>
      <c r="K419" s="22"/>
      <c r="N419" s="22"/>
      <c r="O419" s="22"/>
      <c r="P419" s="22"/>
      <c r="Q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H419" s="22"/>
      <c r="AI419" s="22"/>
      <c r="AJ419" s="22"/>
      <c r="AK419" s="22"/>
    </row>
    <row r="420" spans="1:37" ht="15.75" customHeight="1" x14ac:dyDescent="0.25">
      <c r="A420" s="22"/>
      <c r="B420" s="22"/>
      <c r="C420" s="22"/>
      <c r="D420" s="22"/>
      <c r="E420" s="22"/>
      <c r="H420" s="22"/>
      <c r="I420" s="22"/>
      <c r="J420" s="22"/>
      <c r="K420" s="22"/>
      <c r="N420" s="22"/>
      <c r="O420" s="22"/>
      <c r="P420" s="22"/>
      <c r="Q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H420" s="22"/>
      <c r="AI420" s="22"/>
      <c r="AJ420" s="22"/>
      <c r="AK420" s="22"/>
    </row>
    <row r="421" spans="1:37" ht="15.75" customHeight="1" x14ac:dyDescent="0.25">
      <c r="A421" s="22"/>
      <c r="B421" s="22"/>
      <c r="C421" s="22"/>
      <c r="D421" s="22"/>
      <c r="E421" s="22"/>
      <c r="H421" s="22"/>
      <c r="I421" s="22"/>
      <c r="J421" s="22"/>
      <c r="K421" s="22"/>
      <c r="N421" s="22"/>
      <c r="O421" s="22"/>
      <c r="P421" s="22"/>
      <c r="Q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H421" s="22"/>
      <c r="AI421" s="22"/>
      <c r="AJ421" s="22"/>
      <c r="AK421" s="22"/>
    </row>
    <row r="422" spans="1:37" ht="15.75" customHeight="1" x14ac:dyDescent="0.25">
      <c r="A422" s="22"/>
      <c r="B422" s="22"/>
      <c r="C422" s="22"/>
      <c r="D422" s="22"/>
      <c r="E422" s="22"/>
      <c r="H422" s="22"/>
      <c r="I422" s="22"/>
      <c r="J422" s="22"/>
      <c r="K422" s="22"/>
      <c r="N422" s="22"/>
      <c r="O422" s="22"/>
      <c r="P422" s="22"/>
      <c r="Q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H422" s="22"/>
      <c r="AI422" s="22"/>
      <c r="AJ422" s="22"/>
      <c r="AK422" s="22"/>
    </row>
    <row r="423" spans="1:37" ht="15.75" customHeight="1" x14ac:dyDescent="0.25">
      <c r="A423" s="22"/>
      <c r="B423" s="22"/>
      <c r="C423" s="22"/>
      <c r="D423" s="22"/>
      <c r="E423" s="22"/>
      <c r="H423" s="22"/>
      <c r="I423" s="22"/>
      <c r="J423" s="22"/>
      <c r="K423" s="22"/>
      <c r="N423" s="22"/>
      <c r="O423" s="22"/>
      <c r="P423" s="22"/>
      <c r="Q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H423" s="22"/>
      <c r="AI423" s="22"/>
      <c r="AJ423" s="22"/>
      <c r="AK423" s="22"/>
    </row>
    <row r="424" spans="1:37" ht="15.75" customHeight="1" x14ac:dyDescent="0.25">
      <c r="A424" s="22"/>
      <c r="B424" s="22"/>
      <c r="C424" s="22"/>
      <c r="D424" s="22"/>
      <c r="E424" s="22"/>
      <c r="H424" s="22"/>
      <c r="I424" s="22"/>
      <c r="J424" s="22"/>
      <c r="K424" s="22"/>
      <c r="N424" s="22"/>
      <c r="O424" s="22"/>
      <c r="P424" s="22"/>
      <c r="Q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H424" s="22"/>
      <c r="AI424" s="22"/>
      <c r="AJ424" s="22"/>
      <c r="AK424" s="22"/>
    </row>
    <row r="425" spans="1:37" ht="15.75" customHeight="1" x14ac:dyDescent="0.25">
      <c r="A425" s="22"/>
      <c r="B425" s="22"/>
      <c r="C425" s="22"/>
      <c r="D425" s="22"/>
      <c r="E425" s="22"/>
      <c r="H425" s="22"/>
      <c r="I425" s="22"/>
      <c r="J425" s="22"/>
      <c r="K425" s="22"/>
      <c r="N425" s="22"/>
      <c r="O425" s="22"/>
      <c r="P425" s="22"/>
      <c r="Q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H425" s="22"/>
      <c r="AI425" s="22"/>
      <c r="AJ425" s="22"/>
      <c r="AK425" s="22"/>
    </row>
    <row r="426" spans="1:37" ht="15.75" customHeight="1" x14ac:dyDescent="0.25">
      <c r="A426" s="22"/>
      <c r="B426" s="22"/>
      <c r="C426" s="22"/>
      <c r="D426" s="22"/>
      <c r="E426" s="22"/>
      <c r="H426" s="22"/>
      <c r="I426" s="22"/>
      <c r="J426" s="22"/>
      <c r="K426" s="22"/>
      <c r="N426" s="22"/>
      <c r="O426" s="22"/>
      <c r="P426" s="22"/>
      <c r="Q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H426" s="22"/>
      <c r="AI426" s="22"/>
      <c r="AJ426" s="22"/>
      <c r="AK426" s="22"/>
    </row>
    <row r="427" spans="1:37" ht="15.75" customHeight="1" x14ac:dyDescent="0.25">
      <c r="A427" s="22"/>
      <c r="B427" s="22"/>
      <c r="C427" s="22"/>
      <c r="D427" s="22"/>
      <c r="E427" s="22"/>
      <c r="H427" s="22"/>
      <c r="I427" s="22"/>
      <c r="J427" s="22"/>
      <c r="K427" s="22"/>
      <c r="N427" s="22"/>
      <c r="O427" s="22"/>
      <c r="P427" s="22"/>
      <c r="Q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H427" s="22"/>
      <c r="AI427" s="22"/>
      <c r="AJ427" s="22"/>
      <c r="AK427" s="22"/>
    </row>
    <row r="428" spans="1:37" ht="15.75" customHeight="1" x14ac:dyDescent="0.25">
      <c r="A428" s="22"/>
      <c r="B428" s="22"/>
      <c r="C428" s="22"/>
      <c r="D428" s="22"/>
      <c r="E428" s="22"/>
      <c r="H428" s="22"/>
      <c r="I428" s="22"/>
      <c r="J428" s="22"/>
      <c r="K428" s="22"/>
      <c r="N428" s="22"/>
      <c r="O428" s="22"/>
      <c r="P428" s="22"/>
      <c r="Q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H428" s="22"/>
      <c r="AI428" s="22"/>
      <c r="AJ428" s="22"/>
      <c r="AK428" s="22"/>
    </row>
    <row r="429" spans="1:37" ht="15.75" customHeight="1" x14ac:dyDescent="0.25">
      <c r="A429" s="22"/>
      <c r="B429" s="22"/>
      <c r="C429" s="22"/>
      <c r="D429" s="22"/>
      <c r="E429" s="22"/>
      <c r="H429" s="22"/>
      <c r="I429" s="22"/>
      <c r="J429" s="22"/>
      <c r="K429" s="22"/>
      <c r="N429" s="22"/>
      <c r="O429" s="22"/>
      <c r="P429" s="22"/>
      <c r="Q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H429" s="22"/>
      <c r="AI429" s="22"/>
      <c r="AJ429" s="22"/>
      <c r="AK429" s="22"/>
    </row>
    <row r="430" spans="1:37" ht="15.75" customHeight="1" x14ac:dyDescent="0.25">
      <c r="A430" s="22"/>
      <c r="B430" s="22"/>
      <c r="C430" s="22"/>
      <c r="D430" s="22"/>
      <c r="E430" s="22"/>
      <c r="H430" s="22"/>
      <c r="I430" s="22"/>
      <c r="J430" s="22"/>
      <c r="K430" s="22"/>
      <c r="N430" s="22"/>
      <c r="O430" s="22"/>
      <c r="P430" s="22"/>
      <c r="Q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H430" s="22"/>
      <c r="AI430" s="22"/>
      <c r="AJ430" s="22"/>
      <c r="AK430" s="22"/>
    </row>
    <row r="431" spans="1:37" ht="15.75" customHeight="1" x14ac:dyDescent="0.25">
      <c r="A431" s="22"/>
      <c r="B431" s="22"/>
      <c r="C431" s="22"/>
      <c r="D431" s="22"/>
      <c r="E431" s="22"/>
      <c r="H431" s="22"/>
      <c r="I431" s="22"/>
      <c r="J431" s="22"/>
      <c r="K431" s="22"/>
      <c r="N431" s="22"/>
      <c r="O431" s="22"/>
      <c r="P431" s="22"/>
      <c r="Q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H431" s="22"/>
      <c r="AI431" s="22"/>
      <c r="AJ431" s="22"/>
      <c r="AK431" s="22"/>
    </row>
    <row r="432" spans="1:37" ht="15.75" customHeight="1" x14ac:dyDescent="0.25">
      <c r="A432" s="22"/>
      <c r="B432" s="22"/>
      <c r="C432" s="22"/>
      <c r="D432" s="22"/>
      <c r="E432" s="22"/>
      <c r="H432" s="22"/>
      <c r="I432" s="22"/>
      <c r="J432" s="22"/>
      <c r="K432" s="22"/>
      <c r="N432" s="22"/>
      <c r="O432" s="22"/>
      <c r="P432" s="22"/>
      <c r="Q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H432" s="22"/>
      <c r="AI432" s="22"/>
      <c r="AJ432" s="22"/>
      <c r="AK432" s="22"/>
    </row>
    <row r="433" spans="1:37" ht="15.75" customHeight="1" x14ac:dyDescent="0.25">
      <c r="A433" s="22"/>
      <c r="B433" s="22"/>
      <c r="C433" s="22"/>
      <c r="D433" s="22"/>
      <c r="E433" s="22"/>
      <c r="H433" s="22"/>
      <c r="I433" s="22"/>
      <c r="J433" s="22"/>
      <c r="K433" s="22"/>
      <c r="N433" s="22"/>
      <c r="O433" s="22"/>
      <c r="P433" s="22"/>
      <c r="Q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H433" s="22"/>
      <c r="AI433" s="22"/>
      <c r="AJ433" s="22"/>
      <c r="AK433" s="22"/>
    </row>
    <row r="434" spans="1:37" ht="15.75" customHeight="1" x14ac:dyDescent="0.25">
      <c r="A434" s="22"/>
      <c r="B434" s="22"/>
      <c r="C434" s="22"/>
      <c r="D434" s="22"/>
      <c r="E434" s="22"/>
      <c r="H434" s="22"/>
      <c r="I434" s="22"/>
      <c r="J434" s="22"/>
      <c r="K434" s="22"/>
      <c r="N434" s="22"/>
      <c r="O434" s="22"/>
      <c r="P434" s="22"/>
      <c r="Q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H434" s="22"/>
      <c r="AI434" s="22"/>
      <c r="AJ434" s="22"/>
      <c r="AK434" s="22"/>
    </row>
    <row r="435" spans="1:37" ht="15.75" customHeight="1" x14ac:dyDescent="0.25">
      <c r="A435" s="22"/>
      <c r="B435" s="22"/>
      <c r="C435" s="22"/>
      <c r="D435" s="22"/>
      <c r="E435" s="22"/>
      <c r="H435" s="22"/>
      <c r="I435" s="22"/>
      <c r="J435" s="22"/>
      <c r="K435" s="22"/>
      <c r="N435" s="22"/>
      <c r="O435" s="22"/>
      <c r="P435" s="22"/>
      <c r="Q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H435" s="22"/>
      <c r="AI435" s="22"/>
      <c r="AJ435" s="22"/>
      <c r="AK435" s="22"/>
    </row>
    <row r="436" spans="1:37" ht="15.75" customHeight="1" x14ac:dyDescent="0.25">
      <c r="A436" s="22"/>
      <c r="B436" s="22"/>
      <c r="C436" s="22"/>
      <c r="D436" s="22"/>
      <c r="E436" s="22"/>
      <c r="H436" s="22"/>
      <c r="I436" s="22"/>
      <c r="J436" s="22"/>
      <c r="K436" s="22"/>
      <c r="N436" s="22"/>
      <c r="O436" s="22"/>
      <c r="P436" s="22"/>
      <c r="Q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H436" s="22"/>
      <c r="AI436" s="22"/>
      <c r="AJ436" s="22"/>
      <c r="AK436" s="22"/>
    </row>
    <row r="437" spans="1:37" ht="15.75" customHeight="1" x14ac:dyDescent="0.25">
      <c r="A437" s="22"/>
      <c r="B437" s="22"/>
      <c r="C437" s="22"/>
      <c r="D437" s="22"/>
      <c r="E437" s="22"/>
      <c r="H437" s="22"/>
      <c r="I437" s="22"/>
      <c r="J437" s="22"/>
      <c r="K437" s="22"/>
      <c r="N437" s="22"/>
      <c r="O437" s="22"/>
      <c r="P437" s="22"/>
      <c r="Q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H437" s="22"/>
      <c r="AI437" s="22"/>
      <c r="AJ437" s="22"/>
      <c r="AK437" s="22"/>
    </row>
    <row r="438" spans="1:37" ht="15.75" customHeight="1" x14ac:dyDescent="0.25">
      <c r="A438" s="22"/>
      <c r="B438" s="22"/>
      <c r="C438" s="22"/>
      <c r="D438" s="22"/>
      <c r="E438" s="22"/>
      <c r="H438" s="22"/>
      <c r="I438" s="22"/>
      <c r="J438" s="22"/>
      <c r="K438" s="22"/>
      <c r="N438" s="22"/>
      <c r="O438" s="22"/>
      <c r="P438" s="22"/>
      <c r="Q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H438" s="22"/>
      <c r="AI438" s="22"/>
      <c r="AJ438" s="22"/>
      <c r="AK438" s="22"/>
    </row>
    <row r="439" spans="1:37" ht="15.75" customHeight="1" x14ac:dyDescent="0.25">
      <c r="A439" s="22"/>
      <c r="B439" s="22"/>
      <c r="C439" s="22"/>
      <c r="D439" s="22"/>
      <c r="E439" s="22"/>
      <c r="H439" s="22"/>
      <c r="I439" s="22"/>
      <c r="J439" s="22"/>
      <c r="K439" s="22"/>
      <c r="N439" s="22"/>
      <c r="O439" s="22"/>
      <c r="P439" s="22"/>
      <c r="Q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H439" s="22"/>
      <c r="AI439" s="22"/>
      <c r="AJ439" s="22"/>
      <c r="AK439" s="22"/>
    </row>
    <row r="440" spans="1:37" ht="15.75" customHeight="1" x14ac:dyDescent="0.25">
      <c r="A440" s="22"/>
      <c r="B440" s="22"/>
      <c r="C440" s="22"/>
      <c r="D440" s="22"/>
      <c r="E440" s="22"/>
      <c r="H440" s="22"/>
      <c r="I440" s="22"/>
      <c r="J440" s="22"/>
      <c r="K440" s="22"/>
      <c r="N440" s="22"/>
      <c r="O440" s="22"/>
      <c r="P440" s="22"/>
      <c r="Q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H440" s="22"/>
      <c r="AI440" s="22"/>
      <c r="AJ440" s="22"/>
      <c r="AK440" s="22"/>
    </row>
    <row r="441" spans="1:37" ht="15.75" customHeight="1" x14ac:dyDescent="0.25">
      <c r="A441" s="22"/>
      <c r="B441" s="22"/>
      <c r="C441" s="22"/>
      <c r="D441" s="22"/>
      <c r="E441" s="22"/>
      <c r="H441" s="22"/>
      <c r="I441" s="22"/>
      <c r="J441" s="22"/>
      <c r="K441" s="22"/>
      <c r="N441" s="22"/>
      <c r="O441" s="22"/>
      <c r="P441" s="22"/>
      <c r="Q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H441" s="22"/>
      <c r="AI441" s="22"/>
      <c r="AJ441" s="22"/>
      <c r="AK441" s="22"/>
    </row>
    <row r="442" spans="1:37" ht="15.75" customHeight="1" x14ac:dyDescent="0.25">
      <c r="A442" s="22"/>
      <c r="B442" s="22"/>
      <c r="C442" s="22"/>
      <c r="D442" s="22"/>
      <c r="E442" s="22"/>
      <c r="H442" s="22"/>
      <c r="I442" s="22"/>
      <c r="J442" s="22"/>
      <c r="K442" s="22"/>
      <c r="N442" s="22"/>
      <c r="O442" s="22"/>
      <c r="P442" s="22"/>
      <c r="Q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H442" s="22"/>
      <c r="AI442" s="22"/>
      <c r="AJ442" s="22"/>
      <c r="AK442" s="22"/>
    </row>
    <row r="443" spans="1:37" ht="15.75" customHeight="1" x14ac:dyDescent="0.25">
      <c r="A443" s="22"/>
      <c r="B443" s="22"/>
      <c r="C443" s="22"/>
      <c r="D443" s="22"/>
      <c r="E443" s="22"/>
      <c r="H443" s="22"/>
      <c r="I443" s="22"/>
      <c r="J443" s="22"/>
      <c r="K443" s="22"/>
      <c r="N443" s="22"/>
      <c r="O443" s="22"/>
      <c r="P443" s="22"/>
      <c r="Q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H443" s="22"/>
      <c r="AI443" s="22"/>
      <c r="AJ443" s="22"/>
      <c r="AK443" s="22"/>
    </row>
    <row r="444" spans="1:37" ht="15.75" customHeight="1" x14ac:dyDescent="0.25">
      <c r="A444" s="22"/>
      <c r="B444" s="22"/>
      <c r="C444" s="22"/>
      <c r="D444" s="22"/>
      <c r="E444" s="22"/>
      <c r="H444" s="22"/>
      <c r="I444" s="22"/>
      <c r="J444" s="22"/>
      <c r="K444" s="22"/>
      <c r="N444" s="22"/>
      <c r="O444" s="22"/>
      <c r="P444" s="22"/>
      <c r="Q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H444" s="22"/>
      <c r="AI444" s="22"/>
      <c r="AJ444" s="22"/>
      <c r="AK444" s="22"/>
    </row>
    <row r="445" spans="1:37" ht="15.75" customHeight="1" x14ac:dyDescent="0.25">
      <c r="A445" s="22"/>
      <c r="B445" s="22"/>
      <c r="C445" s="22"/>
      <c r="D445" s="22"/>
      <c r="E445" s="22"/>
      <c r="H445" s="22"/>
      <c r="I445" s="22"/>
      <c r="J445" s="22"/>
      <c r="K445" s="22"/>
      <c r="N445" s="22"/>
      <c r="O445" s="22"/>
      <c r="P445" s="22"/>
      <c r="Q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H445" s="22"/>
      <c r="AI445" s="22"/>
      <c r="AJ445" s="22"/>
      <c r="AK445" s="22"/>
    </row>
    <row r="446" spans="1:37" ht="15.75" customHeight="1" x14ac:dyDescent="0.25">
      <c r="A446" s="22"/>
      <c r="B446" s="22"/>
      <c r="C446" s="22"/>
      <c r="D446" s="22"/>
      <c r="E446" s="22"/>
      <c r="H446" s="22"/>
      <c r="I446" s="22"/>
      <c r="J446" s="22"/>
      <c r="K446" s="22"/>
      <c r="N446" s="22"/>
      <c r="O446" s="22"/>
      <c r="P446" s="22"/>
      <c r="Q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H446" s="22"/>
      <c r="AI446" s="22"/>
      <c r="AJ446" s="22"/>
      <c r="AK446" s="22"/>
    </row>
    <row r="447" spans="1:37" ht="15.75" customHeight="1" x14ac:dyDescent="0.25">
      <c r="A447" s="22"/>
      <c r="B447" s="22"/>
      <c r="C447" s="22"/>
      <c r="D447" s="22"/>
      <c r="E447" s="22"/>
      <c r="H447" s="22"/>
      <c r="I447" s="22"/>
      <c r="J447" s="22"/>
      <c r="K447" s="22"/>
      <c r="N447" s="22"/>
      <c r="O447" s="22"/>
      <c r="P447" s="22"/>
      <c r="Q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H447" s="22"/>
      <c r="AI447" s="22"/>
      <c r="AJ447" s="22"/>
      <c r="AK447" s="22"/>
    </row>
    <row r="448" spans="1:37" ht="15.75" customHeight="1" x14ac:dyDescent="0.25">
      <c r="A448" s="22"/>
      <c r="B448" s="22"/>
      <c r="C448" s="22"/>
      <c r="D448" s="22"/>
      <c r="E448" s="22"/>
      <c r="H448" s="22"/>
      <c r="I448" s="22"/>
      <c r="J448" s="22"/>
      <c r="K448" s="22"/>
      <c r="N448" s="22"/>
      <c r="O448" s="22"/>
      <c r="P448" s="22"/>
      <c r="Q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H448" s="22"/>
      <c r="AI448" s="22"/>
      <c r="AJ448" s="22"/>
      <c r="AK448" s="22"/>
    </row>
    <row r="449" spans="1:37" ht="15.75" customHeight="1" x14ac:dyDescent="0.25">
      <c r="A449" s="22"/>
      <c r="B449" s="22"/>
      <c r="C449" s="22"/>
      <c r="D449" s="22"/>
      <c r="E449" s="22"/>
      <c r="H449" s="22"/>
      <c r="I449" s="22"/>
      <c r="J449" s="22"/>
      <c r="K449" s="22"/>
      <c r="N449" s="22"/>
      <c r="O449" s="22"/>
      <c r="P449" s="22"/>
      <c r="Q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H449" s="22"/>
      <c r="AI449" s="22"/>
      <c r="AJ449" s="22"/>
      <c r="AK449" s="22"/>
    </row>
    <row r="450" spans="1:37" ht="15.75" customHeight="1" x14ac:dyDescent="0.25">
      <c r="A450" s="22"/>
      <c r="B450" s="22"/>
      <c r="C450" s="22"/>
      <c r="D450" s="22"/>
      <c r="E450" s="22"/>
      <c r="H450" s="22"/>
      <c r="I450" s="22"/>
      <c r="J450" s="22"/>
      <c r="K450" s="22"/>
      <c r="N450" s="22"/>
      <c r="O450" s="22"/>
      <c r="P450" s="22"/>
      <c r="Q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H450" s="22"/>
      <c r="AI450" s="22"/>
      <c r="AJ450" s="22"/>
      <c r="AK450" s="22"/>
    </row>
    <row r="451" spans="1:37" ht="15.75" customHeight="1" x14ac:dyDescent="0.25">
      <c r="A451" s="22"/>
      <c r="B451" s="22"/>
      <c r="C451" s="22"/>
      <c r="D451" s="22"/>
      <c r="E451" s="22"/>
      <c r="H451" s="22"/>
      <c r="I451" s="22"/>
      <c r="J451" s="22"/>
      <c r="K451" s="22"/>
      <c r="N451" s="22"/>
      <c r="O451" s="22"/>
      <c r="P451" s="22"/>
      <c r="Q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H451" s="22"/>
      <c r="AI451" s="22"/>
      <c r="AJ451" s="22"/>
      <c r="AK451" s="22"/>
    </row>
    <row r="452" spans="1:37" ht="15.75" customHeight="1" x14ac:dyDescent="0.25">
      <c r="A452" s="22"/>
      <c r="B452" s="22"/>
      <c r="C452" s="22"/>
      <c r="D452" s="22"/>
      <c r="E452" s="22"/>
      <c r="H452" s="22"/>
      <c r="I452" s="22"/>
      <c r="J452" s="22"/>
      <c r="K452" s="22"/>
      <c r="N452" s="22"/>
      <c r="O452" s="22"/>
      <c r="P452" s="22"/>
      <c r="Q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H452" s="22"/>
      <c r="AI452" s="22"/>
      <c r="AJ452" s="22"/>
      <c r="AK452" s="22"/>
    </row>
    <row r="453" spans="1:37" ht="15.75" customHeight="1" x14ac:dyDescent="0.25">
      <c r="A453" s="22"/>
      <c r="B453" s="22"/>
      <c r="C453" s="22"/>
      <c r="D453" s="22"/>
      <c r="E453" s="22"/>
      <c r="H453" s="22"/>
      <c r="I453" s="22"/>
      <c r="J453" s="22"/>
      <c r="K453" s="22"/>
      <c r="N453" s="22"/>
      <c r="O453" s="22"/>
      <c r="P453" s="22"/>
      <c r="Q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H453" s="22"/>
      <c r="AI453" s="22"/>
      <c r="AJ453" s="22"/>
      <c r="AK453" s="22"/>
    </row>
    <row r="454" spans="1:37" ht="15.75" customHeight="1" x14ac:dyDescent="0.25">
      <c r="A454" s="22"/>
      <c r="B454" s="22"/>
      <c r="C454" s="22"/>
      <c r="D454" s="22"/>
      <c r="E454" s="22"/>
      <c r="H454" s="22"/>
      <c r="I454" s="22"/>
      <c r="J454" s="22"/>
      <c r="K454" s="22"/>
      <c r="N454" s="22"/>
      <c r="O454" s="22"/>
      <c r="P454" s="22"/>
      <c r="Q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H454" s="22"/>
      <c r="AI454" s="22"/>
      <c r="AJ454" s="22"/>
      <c r="AK454" s="22"/>
    </row>
    <row r="455" spans="1:37" ht="15.75" customHeight="1" x14ac:dyDescent="0.25">
      <c r="A455" s="22"/>
      <c r="B455" s="22"/>
      <c r="C455" s="22"/>
      <c r="D455" s="22"/>
      <c r="E455" s="22"/>
      <c r="H455" s="22"/>
      <c r="I455" s="22"/>
      <c r="J455" s="22"/>
      <c r="K455" s="22"/>
      <c r="N455" s="22"/>
      <c r="O455" s="22"/>
      <c r="P455" s="22"/>
      <c r="Q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H455" s="22"/>
      <c r="AI455" s="22"/>
      <c r="AJ455" s="22"/>
      <c r="AK455" s="22"/>
    </row>
    <row r="456" spans="1:37" ht="15.75" customHeight="1" x14ac:dyDescent="0.25">
      <c r="A456" s="22"/>
      <c r="B456" s="22"/>
      <c r="C456" s="22"/>
      <c r="D456" s="22"/>
      <c r="E456" s="22"/>
      <c r="H456" s="22"/>
      <c r="I456" s="22"/>
      <c r="J456" s="22"/>
      <c r="K456" s="22"/>
      <c r="N456" s="22"/>
      <c r="O456" s="22"/>
      <c r="P456" s="22"/>
      <c r="Q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H456" s="22"/>
      <c r="AI456" s="22"/>
      <c r="AJ456" s="22"/>
      <c r="AK456" s="22"/>
    </row>
    <row r="457" spans="1:37" ht="15.75" customHeight="1" x14ac:dyDescent="0.25">
      <c r="A457" s="22"/>
      <c r="B457" s="22"/>
      <c r="C457" s="22"/>
      <c r="D457" s="22"/>
      <c r="E457" s="22"/>
      <c r="H457" s="22"/>
      <c r="I457" s="22"/>
      <c r="J457" s="22"/>
      <c r="K457" s="22"/>
      <c r="N457" s="22"/>
      <c r="O457" s="22"/>
      <c r="P457" s="22"/>
      <c r="Q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H457" s="22"/>
      <c r="AI457" s="22"/>
      <c r="AJ457" s="22"/>
      <c r="AK457" s="22"/>
    </row>
    <row r="458" spans="1:37" ht="15.75" customHeight="1" x14ac:dyDescent="0.25">
      <c r="A458" s="22"/>
      <c r="B458" s="22"/>
      <c r="C458" s="22"/>
      <c r="D458" s="22"/>
      <c r="E458" s="22"/>
      <c r="H458" s="22"/>
      <c r="I458" s="22"/>
      <c r="J458" s="22"/>
      <c r="K458" s="22"/>
      <c r="N458" s="22"/>
      <c r="O458" s="22"/>
      <c r="P458" s="22"/>
      <c r="Q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H458" s="22"/>
      <c r="AI458" s="22"/>
      <c r="AJ458" s="22"/>
      <c r="AK458" s="22"/>
    </row>
    <row r="459" spans="1:37" ht="15.75" customHeight="1" x14ac:dyDescent="0.25">
      <c r="A459" s="22"/>
      <c r="B459" s="22"/>
      <c r="C459" s="22"/>
      <c r="D459" s="22"/>
      <c r="E459" s="22"/>
      <c r="H459" s="22"/>
      <c r="I459" s="22"/>
      <c r="J459" s="22"/>
      <c r="K459" s="22"/>
      <c r="N459" s="22"/>
      <c r="O459" s="22"/>
      <c r="P459" s="22"/>
      <c r="Q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H459" s="22"/>
      <c r="AI459" s="22"/>
      <c r="AJ459" s="22"/>
      <c r="AK459" s="22"/>
    </row>
    <row r="460" spans="1:37" ht="15.75" customHeight="1" x14ac:dyDescent="0.25">
      <c r="A460" s="22"/>
      <c r="B460" s="22"/>
      <c r="C460" s="22"/>
      <c r="D460" s="22"/>
      <c r="E460" s="22"/>
      <c r="H460" s="22"/>
      <c r="I460" s="22"/>
      <c r="J460" s="22"/>
      <c r="K460" s="22"/>
      <c r="N460" s="22"/>
      <c r="O460" s="22"/>
      <c r="P460" s="22"/>
      <c r="Q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H460" s="22"/>
      <c r="AI460" s="22"/>
      <c r="AJ460" s="22"/>
      <c r="AK460" s="22"/>
    </row>
    <row r="461" spans="1:37" ht="15.75" customHeight="1" x14ac:dyDescent="0.25">
      <c r="A461" s="22"/>
      <c r="B461" s="22"/>
      <c r="C461" s="22"/>
      <c r="D461" s="22"/>
      <c r="E461" s="22"/>
      <c r="H461" s="22"/>
      <c r="I461" s="22"/>
      <c r="J461" s="22"/>
      <c r="K461" s="22"/>
      <c r="N461" s="22"/>
      <c r="O461" s="22"/>
      <c r="P461" s="22"/>
      <c r="Q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H461" s="22"/>
      <c r="AI461" s="22"/>
      <c r="AJ461" s="22"/>
      <c r="AK461" s="22"/>
    </row>
    <row r="462" spans="1:37" ht="15.75" customHeight="1" x14ac:dyDescent="0.25">
      <c r="A462" s="22"/>
      <c r="B462" s="22"/>
      <c r="C462" s="22"/>
      <c r="D462" s="22"/>
      <c r="E462" s="22"/>
      <c r="H462" s="22"/>
      <c r="I462" s="22"/>
      <c r="J462" s="22"/>
      <c r="K462" s="22"/>
      <c r="N462" s="22"/>
      <c r="O462" s="22"/>
      <c r="P462" s="22"/>
      <c r="Q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H462" s="22"/>
      <c r="AI462" s="22"/>
      <c r="AJ462" s="22"/>
      <c r="AK462" s="22"/>
    </row>
    <row r="463" spans="1:37" ht="15.75" customHeight="1" x14ac:dyDescent="0.25">
      <c r="A463" s="22"/>
      <c r="B463" s="22"/>
      <c r="C463" s="22"/>
      <c r="D463" s="22"/>
      <c r="E463" s="22"/>
      <c r="H463" s="22"/>
      <c r="I463" s="22"/>
      <c r="J463" s="22"/>
      <c r="K463" s="22"/>
      <c r="N463" s="22"/>
      <c r="O463" s="22"/>
      <c r="P463" s="22"/>
      <c r="Q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H463" s="22"/>
      <c r="AI463" s="22"/>
      <c r="AJ463" s="22"/>
      <c r="AK463" s="22"/>
    </row>
    <row r="464" spans="1:37" ht="15.75" customHeight="1" x14ac:dyDescent="0.25">
      <c r="A464" s="22"/>
      <c r="B464" s="22"/>
      <c r="C464" s="22"/>
      <c r="D464" s="22"/>
      <c r="E464" s="22"/>
      <c r="H464" s="22"/>
      <c r="I464" s="22"/>
      <c r="J464" s="22"/>
      <c r="K464" s="22"/>
      <c r="N464" s="22"/>
      <c r="O464" s="22"/>
      <c r="P464" s="22"/>
      <c r="Q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H464" s="22"/>
      <c r="AI464" s="22"/>
      <c r="AJ464" s="22"/>
      <c r="AK464" s="22"/>
    </row>
    <row r="465" spans="1:37" ht="15.75" customHeight="1" x14ac:dyDescent="0.25">
      <c r="A465" s="22"/>
      <c r="B465" s="22"/>
      <c r="C465" s="22"/>
      <c r="D465" s="22"/>
      <c r="E465" s="22"/>
      <c r="H465" s="22"/>
      <c r="I465" s="22"/>
      <c r="J465" s="22"/>
      <c r="K465" s="22"/>
      <c r="N465" s="22"/>
      <c r="O465" s="22"/>
      <c r="P465" s="22"/>
      <c r="Q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H465" s="22"/>
      <c r="AI465" s="22"/>
      <c r="AJ465" s="22"/>
      <c r="AK465" s="22"/>
    </row>
    <row r="466" spans="1:37" ht="15.75" customHeight="1" x14ac:dyDescent="0.25">
      <c r="A466" s="22"/>
      <c r="B466" s="22"/>
      <c r="C466" s="22"/>
      <c r="D466" s="22"/>
      <c r="E466" s="22"/>
      <c r="H466" s="22"/>
      <c r="I466" s="22"/>
      <c r="J466" s="22"/>
      <c r="K466" s="22"/>
      <c r="N466" s="22"/>
      <c r="O466" s="22"/>
      <c r="P466" s="22"/>
      <c r="Q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H466" s="22"/>
      <c r="AI466" s="22"/>
      <c r="AJ466" s="22"/>
      <c r="AK466" s="22"/>
    </row>
    <row r="467" spans="1:37" ht="15.75" customHeight="1" x14ac:dyDescent="0.25">
      <c r="A467" s="22"/>
      <c r="B467" s="22"/>
      <c r="C467" s="22"/>
      <c r="D467" s="22"/>
      <c r="E467" s="22"/>
      <c r="H467" s="22"/>
      <c r="I467" s="22"/>
      <c r="J467" s="22"/>
      <c r="K467" s="22"/>
      <c r="N467" s="22"/>
      <c r="O467" s="22"/>
      <c r="P467" s="22"/>
      <c r="Q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H467" s="22"/>
      <c r="AI467" s="22"/>
      <c r="AJ467" s="22"/>
      <c r="AK467" s="22"/>
    </row>
    <row r="468" spans="1:37" ht="15.75" customHeight="1" x14ac:dyDescent="0.25">
      <c r="A468" s="22"/>
      <c r="B468" s="22"/>
      <c r="C468" s="22"/>
      <c r="D468" s="22"/>
      <c r="E468" s="22"/>
      <c r="H468" s="22"/>
      <c r="I468" s="22"/>
      <c r="J468" s="22"/>
      <c r="K468" s="22"/>
      <c r="N468" s="22"/>
      <c r="O468" s="22"/>
      <c r="P468" s="22"/>
      <c r="Q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H468" s="22"/>
      <c r="AI468" s="22"/>
      <c r="AJ468" s="22"/>
      <c r="AK468" s="22"/>
    </row>
    <row r="469" spans="1:37" ht="15.75" customHeight="1" x14ac:dyDescent="0.25">
      <c r="A469" s="22"/>
      <c r="B469" s="22"/>
      <c r="C469" s="22"/>
      <c r="D469" s="22"/>
      <c r="E469" s="22"/>
      <c r="H469" s="22"/>
      <c r="I469" s="22"/>
      <c r="J469" s="22"/>
      <c r="K469" s="22"/>
      <c r="N469" s="22"/>
      <c r="O469" s="22"/>
      <c r="P469" s="22"/>
      <c r="Q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H469" s="22"/>
      <c r="AI469" s="22"/>
      <c r="AJ469" s="22"/>
      <c r="AK469" s="22"/>
    </row>
    <row r="470" spans="1:37" ht="15.75" customHeight="1" x14ac:dyDescent="0.25">
      <c r="A470" s="22"/>
      <c r="B470" s="22"/>
      <c r="C470" s="22"/>
      <c r="D470" s="22"/>
      <c r="E470" s="22"/>
      <c r="H470" s="22"/>
      <c r="I470" s="22"/>
      <c r="J470" s="22"/>
      <c r="K470" s="22"/>
      <c r="N470" s="22"/>
      <c r="O470" s="22"/>
      <c r="P470" s="22"/>
      <c r="Q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H470" s="22"/>
      <c r="AI470" s="22"/>
      <c r="AJ470" s="22"/>
      <c r="AK470" s="22"/>
    </row>
    <row r="471" spans="1:37" ht="15.75" customHeight="1" x14ac:dyDescent="0.25">
      <c r="A471" s="22"/>
      <c r="B471" s="22"/>
      <c r="C471" s="22"/>
      <c r="D471" s="22"/>
      <c r="E471" s="22"/>
      <c r="H471" s="22"/>
      <c r="I471" s="22"/>
      <c r="J471" s="22"/>
      <c r="K471" s="22"/>
      <c r="N471" s="22"/>
      <c r="O471" s="22"/>
      <c r="P471" s="22"/>
      <c r="Q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H471" s="22"/>
      <c r="AI471" s="22"/>
      <c r="AJ471" s="22"/>
      <c r="AK471" s="22"/>
    </row>
    <row r="472" spans="1:37" ht="15.75" customHeight="1" x14ac:dyDescent="0.25">
      <c r="A472" s="22"/>
      <c r="B472" s="22"/>
      <c r="C472" s="22"/>
      <c r="D472" s="22"/>
      <c r="E472" s="22"/>
      <c r="H472" s="22"/>
      <c r="I472" s="22"/>
      <c r="J472" s="22"/>
      <c r="K472" s="22"/>
      <c r="N472" s="22"/>
      <c r="O472" s="22"/>
      <c r="P472" s="22"/>
      <c r="Q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H472" s="22"/>
      <c r="AI472" s="22"/>
      <c r="AJ472" s="22"/>
      <c r="AK472" s="22"/>
    </row>
    <row r="473" spans="1:37" ht="15.75" customHeight="1" x14ac:dyDescent="0.25">
      <c r="A473" s="22"/>
      <c r="B473" s="22"/>
      <c r="C473" s="22"/>
      <c r="D473" s="22"/>
      <c r="E473" s="22"/>
      <c r="H473" s="22"/>
      <c r="I473" s="22"/>
      <c r="J473" s="22"/>
      <c r="K473" s="22"/>
      <c r="N473" s="22"/>
      <c r="O473" s="22"/>
      <c r="P473" s="22"/>
      <c r="Q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H473" s="22"/>
      <c r="AI473" s="22"/>
      <c r="AJ473" s="22"/>
      <c r="AK473" s="22"/>
    </row>
    <row r="474" spans="1:37" ht="15.75" customHeight="1" x14ac:dyDescent="0.25">
      <c r="A474" s="22"/>
      <c r="B474" s="22"/>
      <c r="C474" s="22"/>
      <c r="D474" s="22"/>
      <c r="E474" s="22"/>
      <c r="H474" s="22"/>
      <c r="I474" s="22"/>
      <c r="J474" s="22"/>
      <c r="K474" s="22"/>
      <c r="N474" s="22"/>
      <c r="O474" s="22"/>
      <c r="P474" s="22"/>
      <c r="Q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H474" s="22"/>
      <c r="AI474" s="22"/>
      <c r="AJ474" s="22"/>
      <c r="AK474" s="22"/>
    </row>
    <row r="475" spans="1:37" ht="15.75" customHeight="1" x14ac:dyDescent="0.25">
      <c r="A475" s="22"/>
      <c r="B475" s="22"/>
      <c r="C475" s="22"/>
      <c r="D475" s="22"/>
      <c r="E475" s="22"/>
      <c r="H475" s="22"/>
      <c r="I475" s="22"/>
      <c r="J475" s="22"/>
      <c r="K475" s="22"/>
      <c r="N475" s="22"/>
      <c r="O475" s="22"/>
      <c r="P475" s="22"/>
      <c r="Q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H475" s="22"/>
      <c r="AI475" s="22"/>
      <c r="AJ475" s="22"/>
      <c r="AK475" s="22"/>
    </row>
    <row r="476" spans="1:37" ht="15.75" customHeight="1" x14ac:dyDescent="0.25">
      <c r="A476" s="22"/>
      <c r="B476" s="22"/>
      <c r="C476" s="22"/>
      <c r="D476" s="22"/>
      <c r="E476" s="22"/>
      <c r="H476" s="22"/>
      <c r="I476" s="22"/>
      <c r="J476" s="22"/>
      <c r="K476" s="22"/>
      <c r="N476" s="22"/>
      <c r="O476" s="22"/>
      <c r="P476" s="22"/>
      <c r="Q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H476" s="22"/>
      <c r="AI476" s="22"/>
      <c r="AJ476" s="22"/>
      <c r="AK476" s="22"/>
    </row>
    <row r="477" spans="1:37" ht="15.75" customHeight="1" x14ac:dyDescent="0.25">
      <c r="A477" s="22"/>
      <c r="B477" s="22"/>
      <c r="C477" s="22"/>
      <c r="D477" s="22"/>
      <c r="E477" s="22"/>
      <c r="H477" s="22"/>
      <c r="I477" s="22"/>
      <c r="J477" s="22"/>
      <c r="K477" s="22"/>
      <c r="N477" s="22"/>
      <c r="O477" s="22"/>
      <c r="P477" s="22"/>
      <c r="Q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H477" s="22"/>
      <c r="AI477" s="22"/>
      <c r="AJ477" s="22"/>
      <c r="AK477" s="22"/>
    </row>
    <row r="478" spans="1:37" ht="15.75" customHeight="1" x14ac:dyDescent="0.25">
      <c r="A478" s="22"/>
      <c r="B478" s="22"/>
      <c r="C478" s="22"/>
      <c r="D478" s="22"/>
      <c r="E478" s="22"/>
      <c r="H478" s="22"/>
      <c r="I478" s="22"/>
      <c r="J478" s="22"/>
      <c r="K478" s="22"/>
      <c r="N478" s="22"/>
      <c r="O478" s="22"/>
      <c r="P478" s="22"/>
      <c r="Q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H478" s="22"/>
      <c r="AI478" s="22"/>
      <c r="AJ478" s="22"/>
      <c r="AK478" s="22"/>
    </row>
    <row r="479" spans="1:37" ht="15.75" customHeight="1" x14ac:dyDescent="0.25">
      <c r="A479" s="22"/>
      <c r="B479" s="22"/>
      <c r="C479" s="22"/>
      <c r="D479" s="22"/>
      <c r="E479" s="22"/>
      <c r="H479" s="22"/>
      <c r="I479" s="22"/>
      <c r="J479" s="22"/>
      <c r="K479" s="22"/>
      <c r="N479" s="22"/>
      <c r="O479" s="22"/>
      <c r="P479" s="22"/>
      <c r="Q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H479" s="22"/>
      <c r="AI479" s="22"/>
      <c r="AJ479" s="22"/>
      <c r="AK479" s="22"/>
    </row>
    <row r="480" spans="1:37" ht="15.75" customHeight="1" x14ac:dyDescent="0.25">
      <c r="A480" s="22"/>
      <c r="B480" s="22"/>
      <c r="C480" s="22"/>
      <c r="D480" s="22"/>
      <c r="E480" s="22"/>
      <c r="H480" s="22"/>
      <c r="I480" s="22"/>
      <c r="J480" s="22"/>
      <c r="K480" s="22"/>
      <c r="N480" s="22"/>
      <c r="O480" s="22"/>
      <c r="P480" s="22"/>
      <c r="Q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H480" s="22"/>
      <c r="AI480" s="22"/>
      <c r="AJ480" s="22"/>
      <c r="AK480" s="22"/>
    </row>
    <row r="481" spans="1:37" ht="15.75" customHeight="1" x14ac:dyDescent="0.25">
      <c r="A481" s="22"/>
      <c r="B481" s="22"/>
      <c r="C481" s="22"/>
      <c r="D481" s="22"/>
      <c r="E481" s="22"/>
      <c r="H481" s="22"/>
      <c r="I481" s="22"/>
      <c r="J481" s="22"/>
      <c r="K481" s="22"/>
      <c r="N481" s="22"/>
      <c r="O481" s="22"/>
      <c r="P481" s="22"/>
      <c r="Q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H481" s="22"/>
      <c r="AI481" s="22"/>
      <c r="AJ481" s="22"/>
      <c r="AK481" s="22"/>
    </row>
    <row r="482" spans="1:37" ht="15.75" customHeight="1" x14ac:dyDescent="0.25">
      <c r="A482" s="22"/>
      <c r="B482" s="22"/>
      <c r="C482" s="22"/>
      <c r="D482" s="22"/>
      <c r="E482" s="22"/>
      <c r="H482" s="22"/>
      <c r="I482" s="22"/>
      <c r="J482" s="22"/>
      <c r="K482" s="22"/>
      <c r="N482" s="22"/>
      <c r="O482" s="22"/>
      <c r="P482" s="22"/>
      <c r="Q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H482" s="22"/>
      <c r="AI482" s="22"/>
      <c r="AJ482" s="22"/>
      <c r="AK482" s="22"/>
    </row>
    <row r="483" spans="1:37" ht="15.75" customHeight="1" x14ac:dyDescent="0.25">
      <c r="A483" s="22"/>
      <c r="B483" s="22"/>
      <c r="C483" s="22"/>
      <c r="D483" s="22"/>
      <c r="E483" s="22"/>
      <c r="H483" s="22"/>
      <c r="I483" s="22"/>
      <c r="J483" s="22"/>
      <c r="K483" s="22"/>
      <c r="N483" s="22"/>
      <c r="O483" s="22"/>
      <c r="P483" s="22"/>
      <c r="Q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H483" s="22"/>
      <c r="AI483" s="22"/>
      <c r="AJ483" s="22"/>
      <c r="AK483" s="22"/>
    </row>
    <row r="484" spans="1:37" ht="15.75" customHeight="1" x14ac:dyDescent="0.25">
      <c r="A484" s="22"/>
      <c r="B484" s="22"/>
      <c r="C484" s="22"/>
      <c r="D484" s="22"/>
      <c r="E484" s="22"/>
      <c r="H484" s="22"/>
      <c r="I484" s="22"/>
      <c r="J484" s="22"/>
      <c r="K484" s="22"/>
      <c r="N484" s="22"/>
      <c r="O484" s="22"/>
      <c r="P484" s="22"/>
      <c r="Q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H484" s="22"/>
      <c r="AI484" s="22"/>
      <c r="AJ484" s="22"/>
      <c r="AK484" s="22"/>
    </row>
    <row r="485" spans="1:37" ht="15.75" customHeight="1" x14ac:dyDescent="0.25">
      <c r="A485" s="22"/>
      <c r="B485" s="22"/>
      <c r="C485" s="22"/>
      <c r="D485" s="22"/>
      <c r="E485" s="22"/>
      <c r="H485" s="22"/>
      <c r="I485" s="22"/>
      <c r="J485" s="22"/>
      <c r="K485" s="22"/>
      <c r="N485" s="22"/>
      <c r="O485" s="22"/>
      <c r="P485" s="22"/>
      <c r="Q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H485" s="22"/>
      <c r="AI485" s="22"/>
      <c r="AJ485" s="22"/>
      <c r="AK485" s="22"/>
    </row>
    <row r="486" spans="1:37" ht="15.75" customHeight="1" x14ac:dyDescent="0.25">
      <c r="A486" s="22"/>
      <c r="B486" s="22"/>
      <c r="C486" s="22"/>
      <c r="D486" s="22"/>
      <c r="E486" s="22"/>
      <c r="H486" s="22"/>
      <c r="I486" s="22"/>
      <c r="J486" s="22"/>
      <c r="K486" s="22"/>
      <c r="N486" s="22"/>
      <c r="O486" s="22"/>
      <c r="P486" s="22"/>
      <c r="Q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H486" s="22"/>
      <c r="AI486" s="22"/>
      <c r="AJ486" s="22"/>
      <c r="AK486" s="22"/>
    </row>
    <row r="487" spans="1:37" ht="15.75" customHeight="1" x14ac:dyDescent="0.25">
      <c r="A487" s="22"/>
      <c r="B487" s="22"/>
      <c r="C487" s="22"/>
      <c r="D487" s="22"/>
      <c r="E487" s="22"/>
      <c r="H487" s="22"/>
      <c r="I487" s="22"/>
      <c r="J487" s="22"/>
      <c r="K487" s="22"/>
      <c r="N487" s="22"/>
      <c r="O487" s="22"/>
      <c r="P487" s="22"/>
      <c r="Q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H487" s="22"/>
      <c r="AI487" s="22"/>
      <c r="AJ487" s="22"/>
      <c r="AK487" s="22"/>
    </row>
    <row r="488" spans="1:37" ht="15.75" customHeight="1" x14ac:dyDescent="0.25">
      <c r="A488" s="22"/>
      <c r="B488" s="22"/>
      <c r="C488" s="22"/>
      <c r="D488" s="22"/>
      <c r="E488" s="22"/>
      <c r="H488" s="22"/>
      <c r="I488" s="22"/>
      <c r="J488" s="22"/>
      <c r="K488" s="22"/>
      <c r="N488" s="22"/>
      <c r="O488" s="22"/>
      <c r="P488" s="22"/>
      <c r="Q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H488" s="22"/>
      <c r="AI488" s="22"/>
      <c r="AJ488" s="22"/>
      <c r="AK488" s="22"/>
    </row>
    <row r="489" spans="1:37" ht="15.75" customHeight="1" x14ac:dyDescent="0.25">
      <c r="A489" s="22"/>
      <c r="B489" s="22"/>
      <c r="C489" s="22"/>
      <c r="D489" s="22"/>
      <c r="E489" s="22"/>
      <c r="H489" s="22"/>
      <c r="I489" s="22"/>
      <c r="J489" s="22"/>
      <c r="K489" s="22"/>
      <c r="N489" s="22"/>
      <c r="O489" s="22"/>
      <c r="P489" s="22"/>
      <c r="Q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H489" s="22"/>
      <c r="AI489" s="22"/>
      <c r="AJ489" s="22"/>
      <c r="AK489" s="22"/>
    </row>
    <row r="490" spans="1:37" ht="15.75" customHeight="1" x14ac:dyDescent="0.25">
      <c r="A490" s="22"/>
      <c r="B490" s="22"/>
      <c r="C490" s="22"/>
      <c r="D490" s="22"/>
      <c r="E490" s="22"/>
      <c r="H490" s="22"/>
      <c r="I490" s="22"/>
      <c r="J490" s="22"/>
      <c r="K490" s="22"/>
      <c r="N490" s="22"/>
      <c r="O490" s="22"/>
      <c r="P490" s="22"/>
      <c r="Q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H490" s="22"/>
      <c r="AI490" s="22"/>
      <c r="AJ490" s="22"/>
      <c r="AK490" s="22"/>
    </row>
    <row r="491" spans="1:37" ht="15.75" customHeight="1" x14ac:dyDescent="0.25">
      <c r="A491" s="22"/>
      <c r="B491" s="22"/>
      <c r="C491" s="22"/>
      <c r="D491" s="22"/>
      <c r="E491" s="22"/>
      <c r="H491" s="22"/>
      <c r="I491" s="22"/>
      <c r="J491" s="22"/>
      <c r="K491" s="22"/>
      <c r="N491" s="22"/>
      <c r="O491" s="22"/>
      <c r="P491" s="22"/>
      <c r="Q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H491" s="22"/>
      <c r="AI491" s="22"/>
      <c r="AJ491" s="22"/>
      <c r="AK491" s="22"/>
    </row>
    <row r="492" spans="1:37" ht="15.75" customHeight="1" x14ac:dyDescent="0.25">
      <c r="A492" s="22"/>
      <c r="B492" s="22"/>
      <c r="C492" s="22"/>
      <c r="D492" s="22"/>
      <c r="E492" s="22"/>
      <c r="H492" s="22"/>
      <c r="I492" s="22"/>
      <c r="J492" s="22"/>
      <c r="K492" s="22"/>
      <c r="N492" s="22"/>
      <c r="O492" s="22"/>
      <c r="P492" s="22"/>
      <c r="Q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H492" s="22"/>
      <c r="AI492" s="22"/>
      <c r="AJ492" s="22"/>
      <c r="AK492" s="22"/>
    </row>
    <row r="493" spans="1:37" ht="15.75" customHeight="1" x14ac:dyDescent="0.25">
      <c r="A493" s="22"/>
      <c r="B493" s="22"/>
      <c r="C493" s="22"/>
      <c r="D493" s="22"/>
      <c r="E493" s="22"/>
      <c r="H493" s="22"/>
      <c r="I493" s="22"/>
      <c r="J493" s="22"/>
      <c r="K493" s="22"/>
      <c r="N493" s="22"/>
      <c r="O493" s="22"/>
      <c r="P493" s="22"/>
      <c r="Q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H493" s="22"/>
      <c r="AI493" s="22"/>
      <c r="AJ493" s="22"/>
      <c r="AK493" s="22"/>
    </row>
    <row r="494" spans="1:37" ht="15.75" customHeight="1" x14ac:dyDescent="0.25">
      <c r="A494" s="22"/>
      <c r="B494" s="22"/>
      <c r="C494" s="22"/>
      <c r="D494" s="22"/>
      <c r="E494" s="22"/>
      <c r="H494" s="22"/>
      <c r="I494" s="22"/>
      <c r="J494" s="22"/>
      <c r="K494" s="22"/>
      <c r="N494" s="22"/>
      <c r="O494" s="22"/>
      <c r="P494" s="22"/>
      <c r="Q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H494" s="22"/>
      <c r="AI494" s="22"/>
      <c r="AJ494" s="22"/>
      <c r="AK494" s="22"/>
    </row>
    <row r="495" spans="1:37" ht="15.75" customHeight="1" x14ac:dyDescent="0.25">
      <c r="A495" s="22"/>
      <c r="B495" s="22"/>
      <c r="C495" s="22"/>
      <c r="D495" s="22"/>
      <c r="E495" s="22"/>
      <c r="H495" s="22"/>
      <c r="I495" s="22"/>
      <c r="J495" s="22"/>
      <c r="K495" s="22"/>
      <c r="N495" s="22"/>
      <c r="O495" s="22"/>
      <c r="P495" s="22"/>
      <c r="Q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H495" s="22"/>
      <c r="AI495" s="22"/>
      <c r="AJ495" s="22"/>
      <c r="AK495" s="22"/>
    </row>
    <row r="496" spans="1:37" ht="15.75" customHeight="1" x14ac:dyDescent="0.25">
      <c r="A496" s="22"/>
      <c r="B496" s="22"/>
      <c r="C496" s="22"/>
      <c r="D496" s="22"/>
      <c r="E496" s="22"/>
      <c r="H496" s="22"/>
      <c r="I496" s="22"/>
      <c r="J496" s="22"/>
      <c r="K496" s="22"/>
      <c r="N496" s="22"/>
      <c r="O496" s="22"/>
      <c r="P496" s="22"/>
      <c r="Q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H496" s="22"/>
      <c r="AI496" s="22"/>
      <c r="AJ496" s="22"/>
      <c r="AK496" s="22"/>
    </row>
    <row r="497" spans="1:37" ht="15.75" customHeight="1" x14ac:dyDescent="0.25">
      <c r="A497" s="22"/>
      <c r="B497" s="22"/>
      <c r="C497" s="22"/>
      <c r="D497" s="22"/>
      <c r="E497" s="22"/>
      <c r="H497" s="22"/>
      <c r="I497" s="22"/>
      <c r="J497" s="22"/>
      <c r="K497" s="22"/>
      <c r="N497" s="22"/>
      <c r="O497" s="22"/>
      <c r="P497" s="22"/>
      <c r="Q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H497" s="22"/>
      <c r="AI497" s="22"/>
      <c r="AJ497" s="22"/>
      <c r="AK497" s="22"/>
    </row>
    <row r="498" spans="1:37" ht="15.75" customHeight="1" x14ac:dyDescent="0.25">
      <c r="A498" s="22"/>
      <c r="B498" s="22"/>
      <c r="C498" s="22"/>
      <c r="D498" s="22"/>
      <c r="E498" s="22"/>
      <c r="H498" s="22"/>
      <c r="I498" s="22"/>
      <c r="J498" s="22"/>
      <c r="K498" s="22"/>
      <c r="N498" s="22"/>
      <c r="O498" s="22"/>
      <c r="P498" s="22"/>
      <c r="Q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H498" s="22"/>
      <c r="AI498" s="22"/>
      <c r="AJ498" s="22"/>
      <c r="AK498" s="22"/>
    </row>
    <row r="499" spans="1:37" ht="15.75" customHeight="1" x14ac:dyDescent="0.25">
      <c r="A499" s="22"/>
      <c r="B499" s="22"/>
      <c r="C499" s="22"/>
      <c r="D499" s="22"/>
      <c r="E499" s="22"/>
      <c r="H499" s="22"/>
      <c r="I499" s="22"/>
      <c r="J499" s="22"/>
      <c r="K499" s="22"/>
      <c r="N499" s="22"/>
      <c r="O499" s="22"/>
      <c r="P499" s="22"/>
      <c r="Q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H499" s="22"/>
      <c r="AI499" s="22"/>
      <c r="AJ499" s="22"/>
      <c r="AK499" s="22"/>
    </row>
    <row r="500" spans="1:37" ht="15.75" customHeight="1" x14ac:dyDescent="0.25">
      <c r="A500" s="22"/>
      <c r="B500" s="22"/>
      <c r="C500" s="22"/>
      <c r="D500" s="22"/>
      <c r="E500" s="22"/>
      <c r="H500" s="22"/>
      <c r="I500" s="22"/>
      <c r="J500" s="22"/>
      <c r="K500" s="22"/>
      <c r="N500" s="22"/>
      <c r="O500" s="22"/>
      <c r="P500" s="22"/>
      <c r="Q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H500" s="22"/>
      <c r="AI500" s="22"/>
      <c r="AJ500" s="22"/>
      <c r="AK500" s="22"/>
    </row>
    <row r="501" spans="1:37" ht="15.75" customHeight="1" x14ac:dyDescent="0.25">
      <c r="A501" s="22"/>
      <c r="B501" s="22"/>
      <c r="C501" s="22"/>
      <c r="D501" s="22"/>
      <c r="E501" s="22"/>
      <c r="H501" s="22"/>
      <c r="I501" s="22"/>
      <c r="J501" s="22"/>
      <c r="K501" s="22"/>
      <c r="N501" s="22"/>
      <c r="O501" s="22"/>
      <c r="P501" s="22"/>
      <c r="Q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H501" s="22"/>
      <c r="AI501" s="22"/>
      <c r="AJ501" s="22"/>
      <c r="AK501" s="22"/>
    </row>
    <row r="502" spans="1:37" ht="15.75" customHeight="1" x14ac:dyDescent="0.25">
      <c r="A502" s="22"/>
      <c r="B502" s="22"/>
      <c r="C502" s="22"/>
      <c r="D502" s="22"/>
      <c r="E502" s="22"/>
      <c r="H502" s="22"/>
      <c r="I502" s="22"/>
      <c r="J502" s="22"/>
      <c r="K502" s="22"/>
      <c r="N502" s="22"/>
      <c r="O502" s="22"/>
      <c r="P502" s="22"/>
      <c r="Q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H502" s="22"/>
      <c r="AI502" s="22"/>
      <c r="AJ502" s="22"/>
      <c r="AK502" s="22"/>
    </row>
    <row r="503" spans="1:37" ht="15.75" customHeight="1" x14ac:dyDescent="0.25">
      <c r="A503" s="22"/>
      <c r="B503" s="22"/>
      <c r="C503" s="22"/>
      <c r="D503" s="22"/>
      <c r="E503" s="22"/>
      <c r="H503" s="22"/>
      <c r="I503" s="22"/>
      <c r="J503" s="22"/>
      <c r="K503" s="22"/>
      <c r="N503" s="22"/>
      <c r="O503" s="22"/>
      <c r="P503" s="22"/>
      <c r="Q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H503" s="22"/>
      <c r="AI503" s="22"/>
      <c r="AJ503" s="22"/>
      <c r="AK503" s="22"/>
    </row>
    <row r="504" spans="1:37" ht="15.75" customHeight="1" x14ac:dyDescent="0.25">
      <c r="A504" s="22"/>
      <c r="B504" s="22"/>
      <c r="C504" s="22"/>
      <c r="D504" s="22"/>
      <c r="E504" s="22"/>
      <c r="H504" s="22"/>
      <c r="I504" s="22"/>
      <c r="J504" s="22"/>
      <c r="K504" s="22"/>
      <c r="N504" s="22"/>
      <c r="O504" s="22"/>
      <c r="P504" s="22"/>
      <c r="Q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H504" s="22"/>
      <c r="AI504" s="22"/>
      <c r="AJ504" s="22"/>
      <c r="AK504" s="22"/>
    </row>
    <row r="505" spans="1:37" ht="15.75" customHeight="1" x14ac:dyDescent="0.25">
      <c r="A505" s="22"/>
      <c r="B505" s="22"/>
      <c r="C505" s="22"/>
      <c r="D505" s="22"/>
      <c r="E505" s="22"/>
      <c r="H505" s="22"/>
      <c r="I505" s="22"/>
      <c r="J505" s="22"/>
      <c r="K505" s="22"/>
      <c r="N505" s="22"/>
      <c r="O505" s="22"/>
      <c r="P505" s="22"/>
      <c r="Q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H505" s="22"/>
      <c r="AI505" s="22"/>
      <c r="AJ505" s="22"/>
      <c r="AK505" s="22"/>
    </row>
    <row r="506" spans="1:37" ht="15.75" customHeight="1" x14ac:dyDescent="0.25">
      <c r="A506" s="22"/>
      <c r="B506" s="22"/>
      <c r="C506" s="22"/>
      <c r="D506" s="22"/>
      <c r="E506" s="22"/>
      <c r="H506" s="22"/>
      <c r="I506" s="22"/>
      <c r="J506" s="22"/>
      <c r="K506" s="22"/>
      <c r="N506" s="22"/>
      <c r="O506" s="22"/>
      <c r="P506" s="22"/>
      <c r="Q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H506" s="22"/>
      <c r="AI506" s="22"/>
      <c r="AJ506" s="22"/>
      <c r="AK506" s="22"/>
    </row>
    <row r="507" spans="1:37" ht="15.75" customHeight="1" x14ac:dyDescent="0.25">
      <c r="A507" s="22"/>
      <c r="B507" s="22"/>
      <c r="C507" s="22"/>
      <c r="D507" s="22"/>
      <c r="E507" s="22"/>
      <c r="H507" s="22"/>
      <c r="I507" s="22"/>
      <c r="J507" s="22"/>
      <c r="K507" s="22"/>
      <c r="N507" s="22"/>
      <c r="O507" s="22"/>
      <c r="P507" s="22"/>
      <c r="Q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H507" s="22"/>
      <c r="AI507" s="22"/>
      <c r="AJ507" s="22"/>
      <c r="AK507" s="22"/>
    </row>
    <row r="508" spans="1:37" ht="15.75" customHeight="1" x14ac:dyDescent="0.25">
      <c r="A508" s="22"/>
      <c r="B508" s="22"/>
      <c r="C508" s="22"/>
      <c r="D508" s="22"/>
      <c r="E508" s="22"/>
      <c r="H508" s="22"/>
      <c r="I508" s="22"/>
      <c r="J508" s="22"/>
      <c r="K508" s="22"/>
      <c r="N508" s="22"/>
      <c r="O508" s="22"/>
      <c r="P508" s="22"/>
      <c r="Q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H508" s="22"/>
      <c r="AI508" s="22"/>
      <c r="AJ508" s="22"/>
      <c r="AK508" s="22"/>
    </row>
    <row r="509" spans="1:37" ht="15.75" customHeight="1" x14ac:dyDescent="0.25">
      <c r="A509" s="22"/>
      <c r="B509" s="22"/>
      <c r="C509" s="22"/>
      <c r="D509" s="22"/>
      <c r="E509" s="22"/>
      <c r="H509" s="22"/>
      <c r="I509" s="22"/>
      <c r="J509" s="22"/>
      <c r="K509" s="22"/>
      <c r="N509" s="22"/>
      <c r="O509" s="22"/>
      <c r="P509" s="22"/>
      <c r="Q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H509" s="22"/>
      <c r="AI509" s="22"/>
      <c r="AJ509" s="22"/>
      <c r="AK509" s="22"/>
    </row>
    <row r="510" spans="1:37" ht="15.75" customHeight="1" x14ac:dyDescent="0.25">
      <c r="A510" s="22"/>
      <c r="B510" s="22"/>
      <c r="C510" s="22"/>
      <c r="D510" s="22"/>
      <c r="E510" s="22"/>
      <c r="H510" s="22"/>
      <c r="I510" s="22"/>
      <c r="J510" s="22"/>
      <c r="K510" s="22"/>
      <c r="N510" s="22"/>
      <c r="O510" s="22"/>
      <c r="P510" s="22"/>
      <c r="Q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H510" s="22"/>
      <c r="AI510" s="22"/>
      <c r="AJ510" s="22"/>
      <c r="AK510" s="22"/>
    </row>
    <row r="511" spans="1:37" ht="15.75" customHeight="1" x14ac:dyDescent="0.25">
      <c r="A511" s="22"/>
      <c r="B511" s="22"/>
      <c r="C511" s="22"/>
      <c r="D511" s="22"/>
      <c r="E511" s="22"/>
      <c r="H511" s="22"/>
      <c r="I511" s="22"/>
      <c r="J511" s="22"/>
      <c r="K511" s="22"/>
      <c r="N511" s="22"/>
      <c r="O511" s="22"/>
      <c r="P511" s="22"/>
      <c r="Q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H511" s="22"/>
      <c r="AI511" s="22"/>
      <c r="AJ511" s="22"/>
      <c r="AK511" s="22"/>
    </row>
    <row r="512" spans="1:37" ht="15.75" customHeight="1" x14ac:dyDescent="0.25">
      <c r="A512" s="22"/>
      <c r="B512" s="22"/>
      <c r="C512" s="22"/>
      <c r="D512" s="22"/>
      <c r="E512" s="22"/>
      <c r="H512" s="22"/>
      <c r="I512" s="22"/>
      <c r="J512" s="22"/>
      <c r="K512" s="22"/>
      <c r="N512" s="22"/>
      <c r="O512" s="22"/>
      <c r="P512" s="22"/>
      <c r="Q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H512" s="22"/>
      <c r="AI512" s="22"/>
      <c r="AJ512" s="22"/>
      <c r="AK512" s="22"/>
    </row>
    <row r="513" spans="1:37" ht="15.75" customHeight="1" x14ac:dyDescent="0.25">
      <c r="A513" s="22"/>
      <c r="B513" s="22"/>
      <c r="C513" s="22"/>
      <c r="D513" s="22"/>
      <c r="E513" s="22"/>
      <c r="H513" s="22"/>
      <c r="I513" s="22"/>
      <c r="J513" s="22"/>
      <c r="K513" s="22"/>
      <c r="N513" s="22"/>
      <c r="O513" s="22"/>
      <c r="P513" s="22"/>
      <c r="Q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H513" s="22"/>
      <c r="AI513" s="22"/>
      <c r="AJ513" s="22"/>
      <c r="AK513" s="22"/>
    </row>
    <row r="514" spans="1:37" ht="15.75" customHeight="1" x14ac:dyDescent="0.25">
      <c r="A514" s="22"/>
      <c r="B514" s="22"/>
      <c r="C514" s="22"/>
      <c r="D514" s="22"/>
      <c r="E514" s="22"/>
      <c r="H514" s="22"/>
      <c r="I514" s="22"/>
      <c r="J514" s="22"/>
      <c r="K514" s="22"/>
      <c r="N514" s="22"/>
      <c r="O514" s="22"/>
      <c r="P514" s="22"/>
      <c r="Q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H514" s="22"/>
      <c r="AI514" s="22"/>
      <c r="AJ514" s="22"/>
      <c r="AK514" s="22"/>
    </row>
    <row r="515" spans="1:37" ht="15.75" customHeight="1" x14ac:dyDescent="0.25">
      <c r="A515" s="22"/>
      <c r="B515" s="22"/>
      <c r="C515" s="22"/>
      <c r="D515" s="22"/>
      <c r="E515" s="22"/>
      <c r="H515" s="22"/>
      <c r="I515" s="22"/>
      <c r="J515" s="22"/>
      <c r="K515" s="22"/>
      <c r="N515" s="22"/>
      <c r="O515" s="22"/>
      <c r="P515" s="22"/>
      <c r="Q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H515" s="22"/>
      <c r="AI515" s="22"/>
      <c r="AJ515" s="22"/>
      <c r="AK515" s="22"/>
    </row>
    <row r="516" spans="1:37" ht="15.75" customHeight="1" x14ac:dyDescent="0.25">
      <c r="A516" s="22"/>
      <c r="B516" s="22"/>
      <c r="C516" s="22"/>
      <c r="D516" s="22"/>
      <c r="E516" s="22"/>
      <c r="H516" s="22"/>
      <c r="I516" s="22"/>
      <c r="J516" s="22"/>
      <c r="K516" s="22"/>
      <c r="N516" s="22"/>
      <c r="O516" s="22"/>
      <c r="P516" s="22"/>
      <c r="Q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H516" s="22"/>
      <c r="AI516" s="22"/>
      <c r="AJ516" s="22"/>
      <c r="AK516" s="22"/>
    </row>
    <row r="517" spans="1:37" ht="15.75" customHeight="1" x14ac:dyDescent="0.25">
      <c r="A517" s="22"/>
      <c r="B517" s="22"/>
      <c r="C517" s="22"/>
      <c r="D517" s="22"/>
      <c r="E517" s="22"/>
      <c r="H517" s="22"/>
      <c r="I517" s="22"/>
      <c r="J517" s="22"/>
      <c r="K517" s="22"/>
      <c r="N517" s="22"/>
      <c r="O517" s="22"/>
      <c r="P517" s="22"/>
      <c r="Q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H517" s="22"/>
      <c r="AI517" s="22"/>
      <c r="AJ517" s="22"/>
      <c r="AK517" s="22"/>
    </row>
    <row r="518" spans="1:37" ht="15.75" customHeight="1" x14ac:dyDescent="0.25">
      <c r="A518" s="22"/>
      <c r="B518" s="22"/>
      <c r="C518" s="22"/>
      <c r="D518" s="22"/>
      <c r="E518" s="22"/>
      <c r="H518" s="22"/>
      <c r="I518" s="22"/>
      <c r="J518" s="22"/>
      <c r="K518" s="22"/>
      <c r="N518" s="22"/>
      <c r="O518" s="22"/>
      <c r="P518" s="22"/>
      <c r="Q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H518" s="22"/>
      <c r="AI518" s="22"/>
      <c r="AJ518" s="22"/>
      <c r="AK518" s="22"/>
    </row>
    <row r="519" spans="1:37" ht="15.75" customHeight="1" x14ac:dyDescent="0.25">
      <c r="A519" s="22"/>
      <c r="B519" s="22"/>
      <c r="C519" s="22"/>
      <c r="D519" s="22"/>
      <c r="E519" s="22"/>
      <c r="H519" s="22"/>
      <c r="I519" s="22"/>
      <c r="J519" s="22"/>
      <c r="K519" s="22"/>
      <c r="N519" s="22"/>
      <c r="O519" s="22"/>
      <c r="P519" s="22"/>
      <c r="Q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H519" s="22"/>
      <c r="AI519" s="22"/>
      <c r="AJ519" s="22"/>
      <c r="AK519" s="22"/>
    </row>
    <row r="520" spans="1:37" ht="15.75" customHeight="1" x14ac:dyDescent="0.25">
      <c r="A520" s="22"/>
      <c r="B520" s="22"/>
      <c r="C520" s="22"/>
      <c r="D520" s="22"/>
      <c r="E520" s="22"/>
      <c r="H520" s="22"/>
      <c r="I520" s="22"/>
      <c r="J520" s="22"/>
      <c r="K520" s="22"/>
      <c r="N520" s="22"/>
      <c r="O520" s="22"/>
      <c r="P520" s="22"/>
      <c r="Q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H520" s="22"/>
      <c r="AI520" s="22"/>
      <c r="AJ520" s="22"/>
      <c r="AK520" s="22"/>
    </row>
    <row r="521" spans="1:37" ht="15.75" customHeight="1" x14ac:dyDescent="0.25">
      <c r="A521" s="22"/>
      <c r="B521" s="22"/>
      <c r="C521" s="22"/>
      <c r="D521" s="22"/>
      <c r="E521" s="22"/>
      <c r="H521" s="22"/>
      <c r="I521" s="22"/>
      <c r="J521" s="22"/>
      <c r="K521" s="22"/>
      <c r="N521" s="22"/>
      <c r="O521" s="22"/>
      <c r="P521" s="22"/>
      <c r="Q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H521" s="22"/>
      <c r="AI521" s="22"/>
      <c r="AJ521" s="22"/>
      <c r="AK521" s="22"/>
    </row>
    <row r="522" spans="1:37" ht="15.75" customHeight="1" x14ac:dyDescent="0.25">
      <c r="A522" s="22"/>
      <c r="B522" s="22"/>
      <c r="C522" s="22"/>
      <c r="D522" s="22"/>
      <c r="E522" s="22"/>
      <c r="H522" s="22"/>
      <c r="I522" s="22"/>
      <c r="J522" s="22"/>
      <c r="K522" s="22"/>
      <c r="N522" s="22"/>
      <c r="O522" s="22"/>
      <c r="P522" s="22"/>
      <c r="Q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H522" s="22"/>
      <c r="AI522" s="22"/>
      <c r="AJ522" s="22"/>
      <c r="AK522" s="22"/>
    </row>
    <row r="523" spans="1:37" ht="15.75" customHeight="1" x14ac:dyDescent="0.25">
      <c r="A523" s="22"/>
      <c r="B523" s="22"/>
      <c r="C523" s="22"/>
      <c r="D523" s="22"/>
      <c r="E523" s="22"/>
      <c r="H523" s="22"/>
      <c r="I523" s="22"/>
      <c r="J523" s="22"/>
      <c r="K523" s="22"/>
      <c r="N523" s="22"/>
      <c r="O523" s="22"/>
      <c r="P523" s="22"/>
      <c r="Q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H523" s="22"/>
      <c r="AI523" s="22"/>
      <c r="AJ523" s="22"/>
      <c r="AK523" s="22"/>
    </row>
    <row r="524" spans="1:37" ht="15.75" customHeight="1" x14ac:dyDescent="0.25">
      <c r="A524" s="22"/>
      <c r="B524" s="22"/>
      <c r="C524" s="22"/>
      <c r="D524" s="22"/>
      <c r="E524" s="22"/>
      <c r="H524" s="22"/>
      <c r="I524" s="22"/>
      <c r="J524" s="22"/>
      <c r="K524" s="22"/>
      <c r="N524" s="22"/>
      <c r="O524" s="22"/>
      <c r="P524" s="22"/>
      <c r="Q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H524" s="22"/>
      <c r="AI524" s="22"/>
      <c r="AJ524" s="22"/>
      <c r="AK524" s="22"/>
    </row>
    <row r="525" spans="1:37" ht="15.75" customHeight="1" x14ac:dyDescent="0.25">
      <c r="A525" s="22"/>
      <c r="B525" s="22"/>
      <c r="C525" s="22"/>
      <c r="D525" s="22"/>
      <c r="E525" s="22"/>
      <c r="H525" s="22"/>
      <c r="I525" s="22"/>
      <c r="J525" s="22"/>
      <c r="K525" s="22"/>
      <c r="N525" s="22"/>
      <c r="O525" s="22"/>
      <c r="P525" s="22"/>
      <c r="Q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H525" s="22"/>
      <c r="AI525" s="22"/>
      <c r="AJ525" s="22"/>
      <c r="AK525" s="22"/>
    </row>
    <row r="526" spans="1:37" ht="15.75" customHeight="1" x14ac:dyDescent="0.25">
      <c r="A526" s="22"/>
      <c r="B526" s="22"/>
      <c r="C526" s="22"/>
      <c r="D526" s="22"/>
      <c r="E526" s="22"/>
      <c r="H526" s="22"/>
      <c r="I526" s="22"/>
      <c r="J526" s="22"/>
      <c r="K526" s="22"/>
      <c r="N526" s="22"/>
      <c r="O526" s="22"/>
      <c r="P526" s="22"/>
      <c r="Q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H526" s="22"/>
      <c r="AI526" s="22"/>
      <c r="AJ526" s="22"/>
      <c r="AK526" s="22"/>
    </row>
    <row r="527" spans="1:37" ht="15.75" customHeight="1" x14ac:dyDescent="0.25">
      <c r="A527" s="22"/>
      <c r="B527" s="22"/>
      <c r="C527" s="22"/>
      <c r="D527" s="22"/>
      <c r="E527" s="22"/>
      <c r="H527" s="22"/>
      <c r="I527" s="22"/>
      <c r="J527" s="22"/>
      <c r="K527" s="22"/>
      <c r="N527" s="22"/>
      <c r="O527" s="22"/>
      <c r="P527" s="22"/>
      <c r="Q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H527" s="22"/>
      <c r="AI527" s="22"/>
      <c r="AJ527" s="22"/>
      <c r="AK527" s="22"/>
    </row>
    <row r="528" spans="1:37" ht="15.75" customHeight="1" x14ac:dyDescent="0.25">
      <c r="A528" s="22"/>
      <c r="B528" s="22"/>
      <c r="C528" s="22"/>
      <c r="D528" s="22"/>
      <c r="E528" s="22"/>
      <c r="H528" s="22"/>
      <c r="I528" s="22"/>
      <c r="J528" s="22"/>
      <c r="K528" s="22"/>
      <c r="N528" s="22"/>
      <c r="O528" s="22"/>
      <c r="P528" s="22"/>
      <c r="Q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H528" s="22"/>
      <c r="AI528" s="22"/>
      <c r="AJ528" s="22"/>
      <c r="AK528" s="22"/>
    </row>
    <row r="529" spans="1:37" ht="15.75" customHeight="1" x14ac:dyDescent="0.25">
      <c r="A529" s="22"/>
      <c r="B529" s="22"/>
      <c r="C529" s="22"/>
      <c r="D529" s="22"/>
      <c r="E529" s="22"/>
      <c r="H529" s="22"/>
      <c r="I529" s="22"/>
      <c r="J529" s="22"/>
      <c r="K529" s="22"/>
      <c r="N529" s="22"/>
      <c r="O529" s="22"/>
      <c r="P529" s="22"/>
      <c r="Q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H529" s="22"/>
      <c r="AI529" s="22"/>
      <c r="AJ529" s="22"/>
      <c r="AK529" s="22"/>
    </row>
    <row r="530" spans="1:37" ht="15.75" customHeight="1" x14ac:dyDescent="0.25">
      <c r="A530" s="22"/>
      <c r="B530" s="22"/>
      <c r="C530" s="22"/>
      <c r="D530" s="22"/>
      <c r="E530" s="22"/>
      <c r="H530" s="22"/>
      <c r="I530" s="22"/>
      <c r="J530" s="22"/>
      <c r="K530" s="22"/>
      <c r="N530" s="22"/>
      <c r="O530" s="22"/>
      <c r="P530" s="22"/>
      <c r="Q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H530" s="22"/>
      <c r="AI530" s="22"/>
      <c r="AJ530" s="22"/>
      <c r="AK530" s="22"/>
    </row>
    <row r="531" spans="1:37" ht="15.75" customHeight="1" x14ac:dyDescent="0.25">
      <c r="A531" s="22"/>
      <c r="B531" s="22"/>
      <c r="C531" s="22"/>
      <c r="D531" s="22"/>
      <c r="E531" s="22"/>
      <c r="H531" s="22"/>
      <c r="I531" s="22"/>
      <c r="J531" s="22"/>
      <c r="K531" s="22"/>
      <c r="N531" s="22"/>
      <c r="O531" s="22"/>
      <c r="P531" s="22"/>
      <c r="Q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H531" s="22"/>
      <c r="AI531" s="22"/>
      <c r="AJ531" s="22"/>
      <c r="AK531" s="22"/>
    </row>
    <row r="532" spans="1:37" ht="15.75" customHeight="1" x14ac:dyDescent="0.25">
      <c r="A532" s="22"/>
      <c r="B532" s="22"/>
      <c r="C532" s="22"/>
      <c r="D532" s="22"/>
      <c r="E532" s="22"/>
      <c r="H532" s="22"/>
      <c r="I532" s="22"/>
      <c r="J532" s="22"/>
      <c r="K532" s="22"/>
      <c r="N532" s="22"/>
      <c r="O532" s="22"/>
      <c r="P532" s="22"/>
      <c r="Q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H532" s="22"/>
      <c r="AI532" s="22"/>
      <c r="AJ532" s="22"/>
      <c r="AK532" s="22"/>
    </row>
    <row r="533" spans="1:37" ht="15.75" customHeight="1" x14ac:dyDescent="0.25">
      <c r="A533" s="22"/>
      <c r="B533" s="22"/>
      <c r="C533" s="22"/>
      <c r="D533" s="22"/>
      <c r="E533" s="22"/>
      <c r="H533" s="22"/>
      <c r="I533" s="22"/>
      <c r="J533" s="22"/>
      <c r="K533" s="22"/>
      <c r="N533" s="22"/>
      <c r="O533" s="22"/>
      <c r="P533" s="22"/>
      <c r="Q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H533" s="22"/>
      <c r="AI533" s="22"/>
      <c r="AJ533" s="22"/>
      <c r="AK533" s="22"/>
    </row>
    <row r="534" spans="1:37" ht="15.75" customHeight="1" x14ac:dyDescent="0.25">
      <c r="A534" s="22"/>
      <c r="B534" s="22"/>
      <c r="C534" s="22"/>
      <c r="D534" s="22"/>
      <c r="E534" s="22"/>
      <c r="H534" s="22"/>
      <c r="I534" s="22"/>
      <c r="J534" s="22"/>
      <c r="K534" s="22"/>
      <c r="N534" s="22"/>
      <c r="O534" s="22"/>
      <c r="P534" s="22"/>
      <c r="Q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H534" s="22"/>
      <c r="AI534" s="22"/>
      <c r="AJ534" s="22"/>
      <c r="AK534" s="22"/>
    </row>
    <row r="535" spans="1:37" ht="15.75" customHeight="1" x14ac:dyDescent="0.25">
      <c r="A535" s="22"/>
      <c r="B535" s="22"/>
      <c r="C535" s="22"/>
      <c r="D535" s="22"/>
      <c r="E535" s="22"/>
      <c r="H535" s="22"/>
      <c r="I535" s="22"/>
      <c r="J535" s="22"/>
      <c r="K535" s="22"/>
      <c r="N535" s="22"/>
      <c r="O535" s="22"/>
      <c r="P535" s="22"/>
      <c r="Q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H535" s="22"/>
      <c r="AI535" s="22"/>
      <c r="AJ535" s="22"/>
      <c r="AK535" s="22"/>
    </row>
    <row r="536" spans="1:37" ht="15.75" customHeight="1" x14ac:dyDescent="0.25">
      <c r="A536" s="22"/>
      <c r="B536" s="22"/>
      <c r="C536" s="22"/>
      <c r="D536" s="22"/>
      <c r="E536" s="22"/>
      <c r="H536" s="22"/>
      <c r="I536" s="22"/>
      <c r="J536" s="22"/>
      <c r="K536" s="22"/>
      <c r="N536" s="22"/>
      <c r="O536" s="22"/>
      <c r="P536" s="22"/>
      <c r="Q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H536" s="22"/>
      <c r="AI536" s="22"/>
      <c r="AJ536" s="22"/>
      <c r="AK536" s="22"/>
    </row>
    <row r="537" spans="1:37" ht="15.75" customHeight="1" x14ac:dyDescent="0.25">
      <c r="A537" s="22"/>
      <c r="B537" s="22"/>
      <c r="C537" s="22"/>
      <c r="D537" s="22"/>
      <c r="E537" s="22"/>
      <c r="H537" s="22"/>
      <c r="I537" s="22"/>
      <c r="J537" s="22"/>
      <c r="K537" s="22"/>
      <c r="N537" s="22"/>
      <c r="O537" s="22"/>
      <c r="P537" s="22"/>
      <c r="Q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H537" s="22"/>
      <c r="AI537" s="22"/>
      <c r="AJ537" s="22"/>
      <c r="AK537" s="22"/>
    </row>
    <row r="538" spans="1:37" ht="15.75" customHeight="1" x14ac:dyDescent="0.25">
      <c r="A538" s="22"/>
      <c r="B538" s="22"/>
      <c r="C538" s="22"/>
      <c r="D538" s="22"/>
      <c r="E538" s="22"/>
      <c r="H538" s="22"/>
      <c r="I538" s="22"/>
      <c r="J538" s="22"/>
      <c r="K538" s="22"/>
      <c r="N538" s="22"/>
      <c r="O538" s="22"/>
      <c r="P538" s="22"/>
      <c r="Q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H538" s="22"/>
      <c r="AI538" s="22"/>
      <c r="AJ538" s="22"/>
      <c r="AK538" s="22"/>
    </row>
    <row r="539" spans="1:37" ht="15.75" customHeight="1" x14ac:dyDescent="0.25">
      <c r="A539" s="22"/>
      <c r="B539" s="22"/>
      <c r="C539" s="22"/>
      <c r="D539" s="22"/>
      <c r="E539" s="22"/>
      <c r="H539" s="22"/>
      <c r="I539" s="22"/>
      <c r="J539" s="22"/>
      <c r="K539" s="22"/>
      <c r="N539" s="22"/>
      <c r="O539" s="22"/>
      <c r="P539" s="22"/>
      <c r="Q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H539" s="22"/>
      <c r="AI539" s="22"/>
      <c r="AJ539" s="22"/>
      <c r="AK539" s="22"/>
    </row>
    <row r="540" spans="1:37" ht="15.75" customHeight="1" x14ac:dyDescent="0.25">
      <c r="A540" s="22"/>
      <c r="B540" s="22"/>
      <c r="C540" s="22"/>
      <c r="D540" s="22"/>
      <c r="E540" s="22"/>
      <c r="H540" s="22"/>
      <c r="I540" s="22"/>
      <c r="J540" s="22"/>
      <c r="K540" s="22"/>
      <c r="N540" s="22"/>
      <c r="O540" s="22"/>
      <c r="P540" s="22"/>
      <c r="Q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H540" s="22"/>
      <c r="AI540" s="22"/>
      <c r="AJ540" s="22"/>
      <c r="AK540" s="22"/>
    </row>
    <row r="541" spans="1:37" ht="15.75" customHeight="1" x14ac:dyDescent="0.25">
      <c r="A541" s="22"/>
      <c r="B541" s="22"/>
      <c r="C541" s="22"/>
      <c r="D541" s="22"/>
      <c r="E541" s="22"/>
      <c r="H541" s="22"/>
      <c r="I541" s="22"/>
      <c r="J541" s="22"/>
      <c r="K541" s="22"/>
      <c r="N541" s="22"/>
      <c r="O541" s="22"/>
      <c r="P541" s="22"/>
      <c r="Q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H541" s="22"/>
      <c r="AI541" s="22"/>
      <c r="AJ541" s="22"/>
      <c r="AK541" s="22"/>
    </row>
    <row r="542" spans="1:37" ht="15.75" customHeight="1" x14ac:dyDescent="0.25">
      <c r="A542" s="22"/>
      <c r="B542" s="22"/>
      <c r="C542" s="22"/>
      <c r="D542" s="22"/>
      <c r="E542" s="22"/>
      <c r="H542" s="22"/>
      <c r="I542" s="22"/>
      <c r="J542" s="22"/>
      <c r="K542" s="22"/>
      <c r="N542" s="22"/>
      <c r="O542" s="22"/>
      <c r="P542" s="22"/>
      <c r="Q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H542" s="22"/>
      <c r="AI542" s="22"/>
      <c r="AJ542" s="22"/>
      <c r="AK542" s="22"/>
    </row>
    <row r="543" spans="1:37" ht="15.75" customHeight="1" x14ac:dyDescent="0.25">
      <c r="A543" s="22"/>
      <c r="B543" s="22"/>
      <c r="C543" s="22"/>
      <c r="D543" s="22"/>
      <c r="E543" s="22"/>
      <c r="H543" s="22"/>
      <c r="I543" s="22"/>
      <c r="J543" s="22"/>
      <c r="K543" s="22"/>
      <c r="N543" s="22"/>
      <c r="O543" s="22"/>
      <c r="P543" s="22"/>
      <c r="Q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H543" s="22"/>
      <c r="AI543" s="22"/>
      <c r="AJ543" s="22"/>
      <c r="AK543" s="22"/>
    </row>
    <row r="544" spans="1:37" ht="15.75" customHeight="1" x14ac:dyDescent="0.25">
      <c r="A544" s="22"/>
      <c r="B544" s="22"/>
      <c r="C544" s="22"/>
      <c r="D544" s="22"/>
      <c r="E544" s="22"/>
      <c r="H544" s="22"/>
      <c r="I544" s="22"/>
      <c r="J544" s="22"/>
      <c r="K544" s="22"/>
      <c r="N544" s="22"/>
      <c r="O544" s="22"/>
      <c r="P544" s="22"/>
      <c r="Q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H544" s="22"/>
      <c r="AI544" s="22"/>
      <c r="AJ544" s="22"/>
      <c r="AK544" s="22"/>
    </row>
    <row r="545" spans="1:37" ht="15.75" customHeight="1" x14ac:dyDescent="0.25">
      <c r="A545" s="22"/>
      <c r="B545" s="22"/>
      <c r="C545" s="22"/>
      <c r="D545" s="22"/>
      <c r="E545" s="22"/>
      <c r="H545" s="22"/>
      <c r="I545" s="22"/>
      <c r="J545" s="22"/>
      <c r="K545" s="22"/>
      <c r="N545" s="22"/>
      <c r="O545" s="22"/>
      <c r="P545" s="22"/>
      <c r="Q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H545" s="22"/>
      <c r="AI545" s="22"/>
      <c r="AJ545" s="22"/>
      <c r="AK545" s="22"/>
    </row>
    <row r="546" spans="1:37" ht="15.75" customHeight="1" x14ac:dyDescent="0.25">
      <c r="A546" s="22"/>
      <c r="B546" s="22"/>
      <c r="C546" s="22"/>
      <c r="D546" s="22"/>
      <c r="E546" s="22"/>
      <c r="H546" s="22"/>
      <c r="I546" s="22"/>
      <c r="J546" s="22"/>
      <c r="K546" s="22"/>
      <c r="N546" s="22"/>
      <c r="O546" s="22"/>
      <c r="P546" s="22"/>
      <c r="Q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H546" s="22"/>
      <c r="AI546" s="22"/>
      <c r="AJ546" s="22"/>
      <c r="AK546" s="22"/>
    </row>
    <row r="547" spans="1:37" ht="15.75" customHeight="1" x14ac:dyDescent="0.25">
      <c r="A547" s="22"/>
      <c r="B547" s="22"/>
      <c r="C547" s="22"/>
      <c r="D547" s="22"/>
      <c r="E547" s="22"/>
      <c r="H547" s="22"/>
      <c r="I547" s="22"/>
      <c r="J547" s="22"/>
      <c r="K547" s="22"/>
      <c r="N547" s="22"/>
      <c r="O547" s="22"/>
      <c r="P547" s="22"/>
      <c r="Q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H547" s="22"/>
      <c r="AI547" s="22"/>
      <c r="AJ547" s="22"/>
      <c r="AK547" s="22"/>
    </row>
    <row r="548" spans="1:37" ht="15.75" customHeight="1" x14ac:dyDescent="0.25">
      <c r="A548" s="22"/>
      <c r="B548" s="22"/>
      <c r="C548" s="22"/>
      <c r="D548" s="22"/>
      <c r="E548" s="22"/>
      <c r="H548" s="22"/>
      <c r="I548" s="22"/>
      <c r="J548" s="22"/>
      <c r="K548" s="22"/>
      <c r="N548" s="22"/>
      <c r="O548" s="22"/>
      <c r="P548" s="22"/>
      <c r="Q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H548" s="22"/>
      <c r="AI548" s="22"/>
      <c r="AJ548" s="22"/>
      <c r="AK548" s="22"/>
    </row>
    <row r="549" spans="1:37" ht="15.75" customHeight="1" x14ac:dyDescent="0.25">
      <c r="A549" s="22"/>
      <c r="B549" s="22"/>
      <c r="C549" s="22"/>
      <c r="D549" s="22"/>
      <c r="E549" s="22"/>
      <c r="H549" s="22"/>
      <c r="I549" s="22"/>
      <c r="J549" s="22"/>
      <c r="K549" s="22"/>
      <c r="N549" s="22"/>
      <c r="O549" s="22"/>
      <c r="P549" s="22"/>
      <c r="Q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H549" s="22"/>
      <c r="AI549" s="22"/>
      <c r="AJ549" s="22"/>
      <c r="AK549" s="22"/>
    </row>
    <row r="550" spans="1:37" ht="15.75" customHeight="1" x14ac:dyDescent="0.25">
      <c r="A550" s="22"/>
      <c r="B550" s="22"/>
      <c r="C550" s="22"/>
      <c r="D550" s="22"/>
      <c r="E550" s="22"/>
      <c r="H550" s="22"/>
      <c r="I550" s="22"/>
      <c r="J550" s="22"/>
      <c r="K550" s="22"/>
      <c r="N550" s="22"/>
      <c r="O550" s="22"/>
      <c r="P550" s="22"/>
      <c r="Q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H550" s="22"/>
      <c r="AI550" s="22"/>
      <c r="AJ550" s="22"/>
      <c r="AK550" s="22"/>
    </row>
    <row r="551" spans="1:37" ht="15.75" customHeight="1" x14ac:dyDescent="0.25">
      <c r="A551" s="22"/>
      <c r="B551" s="22"/>
      <c r="C551" s="22"/>
      <c r="D551" s="22"/>
      <c r="E551" s="22"/>
      <c r="H551" s="22"/>
      <c r="I551" s="22"/>
      <c r="J551" s="22"/>
      <c r="K551" s="22"/>
      <c r="N551" s="22"/>
      <c r="O551" s="22"/>
      <c r="P551" s="22"/>
      <c r="Q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H551" s="22"/>
      <c r="AI551" s="22"/>
      <c r="AJ551" s="22"/>
      <c r="AK551" s="22"/>
    </row>
    <row r="552" spans="1:37" ht="15.75" customHeight="1" x14ac:dyDescent="0.25">
      <c r="A552" s="22"/>
      <c r="B552" s="22"/>
      <c r="C552" s="22"/>
      <c r="D552" s="22"/>
      <c r="E552" s="22"/>
      <c r="H552" s="22"/>
      <c r="I552" s="22"/>
      <c r="J552" s="22"/>
      <c r="K552" s="22"/>
      <c r="N552" s="22"/>
      <c r="O552" s="22"/>
      <c r="P552" s="22"/>
      <c r="Q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H552" s="22"/>
      <c r="AI552" s="22"/>
      <c r="AJ552" s="22"/>
      <c r="AK552" s="22"/>
    </row>
    <row r="553" spans="1:37" ht="15.75" customHeight="1" x14ac:dyDescent="0.25">
      <c r="A553" s="22"/>
      <c r="B553" s="22"/>
      <c r="C553" s="22"/>
      <c r="D553" s="22"/>
      <c r="E553" s="22"/>
      <c r="H553" s="22"/>
      <c r="I553" s="22"/>
      <c r="J553" s="22"/>
      <c r="K553" s="22"/>
      <c r="N553" s="22"/>
      <c r="O553" s="22"/>
      <c r="P553" s="22"/>
      <c r="Q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H553" s="22"/>
      <c r="AI553" s="22"/>
      <c r="AJ553" s="22"/>
      <c r="AK553" s="22"/>
    </row>
    <row r="554" spans="1:37" ht="15.75" customHeight="1" x14ac:dyDescent="0.25">
      <c r="A554" s="22"/>
      <c r="B554" s="22"/>
      <c r="C554" s="22"/>
      <c r="D554" s="22"/>
      <c r="E554" s="22"/>
      <c r="H554" s="22"/>
      <c r="I554" s="22"/>
      <c r="J554" s="22"/>
      <c r="K554" s="22"/>
      <c r="N554" s="22"/>
      <c r="O554" s="22"/>
      <c r="P554" s="22"/>
      <c r="Q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H554" s="22"/>
      <c r="AI554" s="22"/>
      <c r="AJ554" s="22"/>
      <c r="AK554" s="22"/>
    </row>
    <row r="555" spans="1:37" ht="15.75" customHeight="1" x14ac:dyDescent="0.25">
      <c r="A555" s="22"/>
      <c r="B555" s="22"/>
      <c r="C555" s="22"/>
      <c r="D555" s="22"/>
      <c r="E555" s="22"/>
      <c r="H555" s="22"/>
      <c r="I555" s="22"/>
      <c r="J555" s="22"/>
      <c r="K555" s="22"/>
      <c r="N555" s="22"/>
      <c r="O555" s="22"/>
      <c r="P555" s="22"/>
      <c r="Q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H555" s="22"/>
      <c r="AI555" s="22"/>
      <c r="AJ555" s="22"/>
      <c r="AK555" s="22"/>
    </row>
    <row r="556" spans="1:37" ht="15.75" customHeight="1" x14ac:dyDescent="0.25">
      <c r="A556" s="22"/>
      <c r="B556" s="22"/>
      <c r="C556" s="22"/>
      <c r="D556" s="22"/>
      <c r="E556" s="22"/>
      <c r="H556" s="22"/>
      <c r="I556" s="22"/>
      <c r="J556" s="22"/>
      <c r="K556" s="22"/>
      <c r="N556" s="22"/>
      <c r="O556" s="22"/>
      <c r="P556" s="22"/>
      <c r="Q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H556" s="22"/>
      <c r="AI556" s="22"/>
      <c r="AJ556" s="22"/>
      <c r="AK556" s="22"/>
    </row>
    <row r="557" spans="1:37" ht="15.75" customHeight="1" x14ac:dyDescent="0.25">
      <c r="A557" s="22"/>
      <c r="B557" s="22"/>
      <c r="C557" s="22"/>
      <c r="D557" s="22"/>
      <c r="E557" s="22"/>
      <c r="H557" s="22"/>
      <c r="I557" s="22"/>
      <c r="J557" s="22"/>
      <c r="K557" s="22"/>
      <c r="N557" s="22"/>
      <c r="O557" s="22"/>
      <c r="P557" s="22"/>
      <c r="Q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H557" s="22"/>
      <c r="AI557" s="22"/>
      <c r="AJ557" s="22"/>
      <c r="AK557" s="22"/>
    </row>
    <row r="558" spans="1:37" ht="15.75" customHeight="1" x14ac:dyDescent="0.25">
      <c r="A558" s="22"/>
      <c r="B558" s="22"/>
      <c r="C558" s="22"/>
      <c r="D558" s="22"/>
      <c r="E558" s="22"/>
      <c r="H558" s="22"/>
      <c r="I558" s="22"/>
      <c r="J558" s="22"/>
      <c r="K558" s="22"/>
      <c r="N558" s="22"/>
      <c r="O558" s="22"/>
      <c r="P558" s="22"/>
      <c r="Q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H558" s="22"/>
      <c r="AI558" s="22"/>
      <c r="AJ558" s="22"/>
      <c r="AK558" s="22"/>
    </row>
    <row r="559" spans="1:37" ht="15.75" customHeight="1" x14ac:dyDescent="0.25">
      <c r="A559" s="22"/>
      <c r="B559" s="22"/>
      <c r="C559" s="22"/>
      <c r="D559" s="22"/>
      <c r="E559" s="22"/>
      <c r="H559" s="22"/>
      <c r="I559" s="22"/>
      <c r="J559" s="22"/>
      <c r="K559" s="22"/>
      <c r="N559" s="22"/>
      <c r="O559" s="22"/>
      <c r="P559" s="22"/>
      <c r="Q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H559" s="22"/>
      <c r="AI559" s="22"/>
      <c r="AJ559" s="22"/>
      <c r="AK559" s="22"/>
    </row>
    <row r="560" spans="1:37" ht="15.75" customHeight="1" x14ac:dyDescent="0.25">
      <c r="A560" s="22"/>
      <c r="B560" s="22"/>
      <c r="C560" s="22"/>
      <c r="D560" s="22"/>
      <c r="E560" s="22"/>
      <c r="H560" s="22"/>
      <c r="I560" s="22"/>
      <c r="J560" s="22"/>
      <c r="K560" s="22"/>
      <c r="N560" s="22"/>
      <c r="O560" s="22"/>
      <c r="P560" s="22"/>
      <c r="Q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H560" s="22"/>
      <c r="AI560" s="22"/>
      <c r="AJ560" s="22"/>
      <c r="AK560" s="22"/>
    </row>
    <row r="561" spans="1:37" ht="15.75" customHeight="1" x14ac:dyDescent="0.25">
      <c r="A561" s="22"/>
      <c r="B561" s="22"/>
      <c r="C561" s="22"/>
      <c r="D561" s="22"/>
      <c r="E561" s="22"/>
      <c r="H561" s="22"/>
      <c r="I561" s="22"/>
      <c r="J561" s="22"/>
      <c r="K561" s="22"/>
      <c r="N561" s="22"/>
      <c r="O561" s="22"/>
      <c r="P561" s="22"/>
      <c r="Q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H561" s="22"/>
      <c r="AI561" s="22"/>
      <c r="AJ561" s="22"/>
      <c r="AK561" s="22"/>
    </row>
    <row r="562" spans="1:37" ht="15.75" customHeight="1" x14ac:dyDescent="0.25">
      <c r="A562" s="22"/>
      <c r="B562" s="22"/>
      <c r="C562" s="22"/>
      <c r="D562" s="22"/>
      <c r="E562" s="22"/>
      <c r="H562" s="22"/>
      <c r="I562" s="22"/>
      <c r="J562" s="22"/>
      <c r="K562" s="22"/>
      <c r="N562" s="22"/>
      <c r="O562" s="22"/>
      <c r="P562" s="22"/>
      <c r="Q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H562" s="22"/>
      <c r="AI562" s="22"/>
      <c r="AJ562" s="22"/>
      <c r="AK562" s="22"/>
    </row>
    <row r="563" spans="1:37" ht="15.75" customHeight="1" x14ac:dyDescent="0.25">
      <c r="A563" s="22"/>
      <c r="B563" s="22"/>
      <c r="C563" s="22"/>
      <c r="D563" s="22"/>
      <c r="E563" s="22"/>
      <c r="H563" s="22"/>
      <c r="I563" s="22"/>
      <c r="J563" s="22"/>
      <c r="K563" s="22"/>
      <c r="N563" s="22"/>
      <c r="O563" s="22"/>
      <c r="P563" s="22"/>
      <c r="Q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H563" s="22"/>
      <c r="AI563" s="22"/>
      <c r="AJ563" s="22"/>
      <c r="AK563" s="22"/>
    </row>
    <row r="564" spans="1:37" ht="15.75" customHeight="1" x14ac:dyDescent="0.25">
      <c r="A564" s="22"/>
      <c r="B564" s="22"/>
      <c r="C564" s="22"/>
      <c r="D564" s="22"/>
      <c r="E564" s="22"/>
      <c r="H564" s="22"/>
      <c r="I564" s="22"/>
      <c r="J564" s="22"/>
      <c r="K564" s="22"/>
      <c r="N564" s="22"/>
      <c r="O564" s="22"/>
      <c r="P564" s="22"/>
      <c r="Q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H564" s="22"/>
      <c r="AI564" s="22"/>
      <c r="AJ564" s="22"/>
      <c r="AK564" s="22"/>
    </row>
    <row r="565" spans="1:37" ht="15.75" customHeight="1" x14ac:dyDescent="0.25">
      <c r="A565" s="22"/>
      <c r="B565" s="22"/>
      <c r="C565" s="22"/>
      <c r="D565" s="22"/>
      <c r="E565" s="22"/>
      <c r="H565" s="22"/>
      <c r="I565" s="22"/>
      <c r="J565" s="22"/>
      <c r="K565" s="22"/>
      <c r="N565" s="22"/>
      <c r="O565" s="22"/>
      <c r="P565" s="22"/>
      <c r="Q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H565" s="22"/>
      <c r="AI565" s="22"/>
      <c r="AJ565" s="22"/>
      <c r="AK565" s="22"/>
    </row>
    <row r="566" spans="1:37" ht="15.75" customHeight="1" x14ac:dyDescent="0.25">
      <c r="A566" s="22"/>
      <c r="B566" s="22"/>
      <c r="C566" s="22"/>
      <c r="D566" s="22"/>
      <c r="E566" s="22"/>
      <c r="H566" s="22"/>
      <c r="I566" s="22"/>
      <c r="J566" s="22"/>
      <c r="K566" s="22"/>
      <c r="N566" s="22"/>
      <c r="O566" s="22"/>
      <c r="P566" s="22"/>
      <c r="Q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H566" s="22"/>
      <c r="AI566" s="22"/>
      <c r="AJ566" s="22"/>
      <c r="AK566" s="22"/>
    </row>
    <row r="567" spans="1:37" ht="15.75" customHeight="1" x14ac:dyDescent="0.25">
      <c r="A567" s="22"/>
      <c r="B567" s="22"/>
      <c r="C567" s="22"/>
      <c r="D567" s="22"/>
      <c r="E567" s="22"/>
      <c r="H567" s="22"/>
      <c r="I567" s="22"/>
      <c r="J567" s="22"/>
      <c r="K567" s="22"/>
      <c r="N567" s="22"/>
      <c r="O567" s="22"/>
      <c r="P567" s="22"/>
      <c r="Q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H567" s="22"/>
      <c r="AI567" s="22"/>
      <c r="AJ567" s="22"/>
      <c r="AK567" s="22"/>
    </row>
    <row r="568" spans="1:37" ht="15.75" customHeight="1" x14ac:dyDescent="0.25">
      <c r="A568" s="22"/>
      <c r="B568" s="22"/>
      <c r="C568" s="22"/>
      <c r="D568" s="22"/>
      <c r="E568" s="22"/>
      <c r="H568" s="22"/>
      <c r="I568" s="22"/>
      <c r="J568" s="22"/>
      <c r="K568" s="22"/>
      <c r="N568" s="22"/>
      <c r="O568" s="22"/>
      <c r="P568" s="22"/>
      <c r="Q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H568" s="22"/>
      <c r="AI568" s="22"/>
      <c r="AJ568" s="22"/>
      <c r="AK568" s="22"/>
    </row>
    <row r="569" spans="1:37" ht="15.75" customHeight="1" x14ac:dyDescent="0.25">
      <c r="A569" s="22"/>
      <c r="B569" s="22"/>
      <c r="C569" s="22"/>
      <c r="D569" s="22"/>
      <c r="E569" s="22"/>
      <c r="H569" s="22"/>
      <c r="I569" s="22"/>
      <c r="J569" s="22"/>
      <c r="K569" s="22"/>
      <c r="N569" s="22"/>
      <c r="O569" s="22"/>
      <c r="P569" s="22"/>
      <c r="Q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H569" s="22"/>
      <c r="AI569" s="22"/>
      <c r="AJ569" s="22"/>
      <c r="AK569" s="22"/>
    </row>
    <row r="570" spans="1:37" ht="15.75" customHeight="1" x14ac:dyDescent="0.25">
      <c r="A570" s="22"/>
      <c r="B570" s="22"/>
      <c r="C570" s="22"/>
      <c r="D570" s="22"/>
      <c r="E570" s="22"/>
      <c r="H570" s="22"/>
      <c r="I570" s="22"/>
      <c r="J570" s="22"/>
      <c r="K570" s="22"/>
      <c r="N570" s="22"/>
      <c r="O570" s="22"/>
      <c r="P570" s="22"/>
      <c r="Q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H570" s="22"/>
      <c r="AI570" s="22"/>
      <c r="AJ570" s="22"/>
      <c r="AK570" s="22"/>
    </row>
    <row r="571" spans="1:37" ht="15.75" customHeight="1" x14ac:dyDescent="0.25">
      <c r="A571" s="22"/>
      <c r="B571" s="22"/>
      <c r="C571" s="22"/>
      <c r="D571" s="22"/>
      <c r="E571" s="22"/>
      <c r="H571" s="22"/>
      <c r="I571" s="22"/>
      <c r="J571" s="22"/>
      <c r="K571" s="22"/>
      <c r="N571" s="22"/>
      <c r="O571" s="22"/>
      <c r="P571" s="22"/>
      <c r="Q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H571" s="22"/>
      <c r="AI571" s="22"/>
      <c r="AJ571" s="22"/>
      <c r="AK571" s="22"/>
    </row>
    <row r="572" spans="1:37" ht="15.75" customHeight="1" x14ac:dyDescent="0.25">
      <c r="A572" s="22"/>
      <c r="B572" s="22"/>
      <c r="C572" s="22"/>
      <c r="D572" s="22"/>
      <c r="E572" s="22"/>
      <c r="H572" s="22"/>
      <c r="I572" s="22"/>
      <c r="J572" s="22"/>
      <c r="K572" s="22"/>
      <c r="N572" s="22"/>
      <c r="O572" s="22"/>
      <c r="P572" s="22"/>
      <c r="Q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H572" s="22"/>
      <c r="AI572" s="22"/>
      <c r="AJ572" s="22"/>
      <c r="AK572" s="22"/>
    </row>
    <row r="573" spans="1:37" ht="15.75" customHeight="1" x14ac:dyDescent="0.25">
      <c r="A573" s="22"/>
      <c r="B573" s="22"/>
      <c r="C573" s="22"/>
      <c r="D573" s="22"/>
      <c r="E573" s="22"/>
      <c r="H573" s="22"/>
      <c r="I573" s="22"/>
      <c r="J573" s="22"/>
      <c r="K573" s="22"/>
      <c r="N573" s="22"/>
      <c r="O573" s="22"/>
      <c r="P573" s="22"/>
      <c r="Q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H573" s="22"/>
      <c r="AI573" s="22"/>
      <c r="AJ573" s="22"/>
      <c r="AK573" s="22"/>
    </row>
    <row r="574" spans="1:37" ht="15.75" customHeight="1" x14ac:dyDescent="0.25">
      <c r="A574" s="22"/>
      <c r="B574" s="22"/>
      <c r="C574" s="22"/>
      <c r="D574" s="22"/>
      <c r="E574" s="22"/>
      <c r="H574" s="22"/>
      <c r="I574" s="22"/>
      <c r="J574" s="22"/>
      <c r="K574" s="22"/>
      <c r="N574" s="22"/>
      <c r="O574" s="22"/>
      <c r="P574" s="22"/>
      <c r="Q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H574" s="22"/>
      <c r="AI574" s="22"/>
      <c r="AJ574" s="22"/>
      <c r="AK574" s="22"/>
    </row>
    <row r="575" spans="1:37" ht="15.75" customHeight="1" x14ac:dyDescent="0.25">
      <c r="A575" s="22"/>
      <c r="B575" s="22"/>
      <c r="C575" s="22"/>
      <c r="D575" s="22"/>
      <c r="E575" s="22"/>
      <c r="H575" s="22"/>
      <c r="I575" s="22"/>
      <c r="J575" s="22"/>
      <c r="K575" s="22"/>
      <c r="N575" s="22"/>
      <c r="O575" s="22"/>
      <c r="P575" s="22"/>
      <c r="Q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H575" s="22"/>
      <c r="AI575" s="22"/>
      <c r="AJ575" s="22"/>
      <c r="AK575" s="22"/>
    </row>
    <row r="576" spans="1:37" ht="15.75" customHeight="1" x14ac:dyDescent="0.25">
      <c r="A576" s="22"/>
      <c r="B576" s="22"/>
      <c r="C576" s="22"/>
      <c r="D576" s="22"/>
      <c r="E576" s="22"/>
      <c r="H576" s="22"/>
      <c r="I576" s="22"/>
      <c r="J576" s="22"/>
      <c r="K576" s="22"/>
      <c r="N576" s="22"/>
      <c r="O576" s="22"/>
      <c r="P576" s="22"/>
      <c r="Q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H576" s="22"/>
      <c r="AI576" s="22"/>
      <c r="AJ576" s="22"/>
      <c r="AK576" s="22"/>
    </row>
    <row r="577" spans="1:37" ht="15.75" customHeight="1" x14ac:dyDescent="0.25">
      <c r="A577" s="22"/>
      <c r="B577" s="22"/>
      <c r="C577" s="22"/>
      <c r="D577" s="22"/>
      <c r="E577" s="22"/>
      <c r="H577" s="22"/>
      <c r="I577" s="22"/>
      <c r="J577" s="22"/>
      <c r="K577" s="22"/>
      <c r="N577" s="22"/>
      <c r="O577" s="22"/>
      <c r="P577" s="22"/>
      <c r="Q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H577" s="22"/>
      <c r="AI577" s="22"/>
      <c r="AJ577" s="22"/>
      <c r="AK577" s="22"/>
    </row>
    <row r="578" spans="1:37" ht="15.75" customHeight="1" x14ac:dyDescent="0.25">
      <c r="A578" s="22"/>
      <c r="B578" s="22"/>
      <c r="C578" s="22"/>
      <c r="D578" s="22"/>
      <c r="E578" s="22"/>
      <c r="H578" s="22"/>
      <c r="I578" s="22"/>
      <c r="J578" s="22"/>
      <c r="K578" s="22"/>
      <c r="N578" s="22"/>
      <c r="O578" s="22"/>
      <c r="P578" s="22"/>
      <c r="Q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H578" s="22"/>
      <c r="AI578" s="22"/>
      <c r="AJ578" s="22"/>
      <c r="AK578" s="22"/>
    </row>
    <row r="579" spans="1:37" ht="15.75" customHeight="1" x14ac:dyDescent="0.25">
      <c r="A579" s="22"/>
      <c r="B579" s="22"/>
      <c r="C579" s="22"/>
      <c r="D579" s="22"/>
      <c r="E579" s="22"/>
      <c r="H579" s="22"/>
      <c r="I579" s="22"/>
      <c r="J579" s="22"/>
      <c r="K579" s="22"/>
      <c r="N579" s="22"/>
      <c r="O579" s="22"/>
      <c r="P579" s="22"/>
      <c r="Q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H579" s="22"/>
      <c r="AI579" s="22"/>
      <c r="AJ579" s="22"/>
      <c r="AK579" s="22"/>
    </row>
    <row r="580" spans="1:37" ht="15.75" customHeight="1" x14ac:dyDescent="0.25">
      <c r="A580" s="22"/>
      <c r="B580" s="22"/>
      <c r="C580" s="22"/>
      <c r="D580" s="22"/>
      <c r="E580" s="22"/>
      <c r="H580" s="22"/>
      <c r="I580" s="22"/>
      <c r="J580" s="22"/>
      <c r="K580" s="22"/>
      <c r="N580" s="22"/>
      <c r="O580" s="22"/>
      <c r="P580" s="22"/>
      <c r="Q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H580" s="22"/>
      <c r="AI580" s="22"/>
      <c r="AJ580" s="22"/>
      <c r="AK580" s="22"/>
    </row>
    <row r="581" spans="1:37" ht="15.75" customHeight="1" x14ac:dyDescent="0.25">
      <c r="A581" s="22"/>
      <c r="B581" s="22"/>
      <c r="C581" s="22"/>
      <c r="D581" s="22"/>
      <c r="E581" s="22"/>
      <c r="H581" s="22"/>
      <c r="I581" s="22"/>
      <c r="J581" s="22"/>
      <c r="K581" s="22"/>
      <c r="N581" s="22"/>
      <c r="O581" s="22"/>
      <c r="P581" s="22"/>
      <c r="Q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H581" s="22"/>
      <c r="AI581" s="22"/>
      <c r="AJ581" s="22"/>
      <c r="AK581" s="22"/>
    </row>
    <row r="582" spans="1:37" ht="15.75" customHeight="1" x14ac:dyDescent="0.25">
      <c r="A582" s="22"/>
      <c r="B582" s="22"/>
      <c r="C582" s="22"/>
      <c r="D582" s="22"/>
      <c r="E582" s="22"/>
      <c r="H582" s="22"/>
      <c r="I582" s="22"/>
      <c r="J582" s="22"/>
      <c r="K582" s="22"/>
      <c r="N582" s="22"/>
      <c r="O582" s="22"/>
      <c r="P582" s="22"/>
      <c r="Q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H582" s="22"/>
      <c r="AI582" s="22"/>
      <c r="AJ582" s="22"/>
      <c r="AK582" s="22"/>
    </row>
    <row r="583" spans="1:37" ht="15.75" customHeight="1" x14ac:dyDescent="0.25">
      <c r="A583" s="22"/>
      <c r="B583" s="22"/>
      <c r="C583" s="22"/>
      <c r="D583" s="22"/>
      <c r="E583" s="22"/>
      <c r="H583" s="22"/>
      <c r="I583" s="22"/>
      <c r="J583" s="22"/>
      <c r="K583" s="22"/>
      <c r="N583" s="22"/>
      <c r="O583" s="22"/>
      <c r="P583" s="22"/>
      <c r="Q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H583" s="22"/>
      <c r="AI583" s="22"/>
      <c r="AJ583" s="22"/>
      <c r="AK583" s="22"/>
    </row>
    <row r="584" spans="1:37" ht="15.75" customHeight="1" x14ac:dyDescent="0.25">
      <c r="A584" s="22"/>
      <c r="B584" s="22"/>
      <c r="C584" s="22"/>
      <c r="D584" s="22"/>
      <c r="E584" s="22"/>
      <c r="H584" s="22"/>
      <c r="I584" s="22"/>
      <c r="J584" s="22"/>
      <c r="K584" s="22"/>
      <c r="N584" s="22"/>
      <c r="O584" s="22"/>
      <c r="P584" s="22"/>
      <c r="Q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H584" s="22"/>
      <c r="AI584" s="22"/>
      <c r="AJ584" s="22"/>
      <c r="AK584" s="22"/>
    </row>
    <row r="585" spans="1:37" ht="15.75" customHeight="1" x14ac:dyDescent="0.25">
      <c r="A585" s="22"/>
      <c r="B585" s="22"/>
      <c r="C585" s="22"/>
      <c r="D585" s="22"/>
      <c r="E585" s="22"/>
      <c r="H585" s="22"/>
      <c r="I585" s="22"/>
      <c r="J585" s="22"/>
      <c r="K585" s="22"/>
      <c r="N585" s="22"/>
      <c r="O585" s="22"/>
      <c r="P585" s="22"/>
      <c r="Q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H585" s="22"/>
      <c r="AI585" s="22"/>
      <c r="AJ585" s="22"/>
      <c r="AK585" s="22"/>
    </row>
    <row r="586" spans="1:37" ht="15.75" customHeight="1" x14ac:dyDescent="0.25">
      <c r="A586" s="22"/>
      <c r="B586" s="22"/>
      <c r="C586" s="22"/>
      <c r="D586" s="22"/>
      <c r="E586" s="22"/>
      <c r="H586" s="22"/>
      <c r="I586" s="22"/>
      <c r="J586" s="22"/>
      <c r="K586" s="22"/>
      <c r="N586" s="22"/>
      <c r="O586" s="22"/>
      <c r="P586" s="22"/>
      <c r="Q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H586" s="22"/>
      <c r="AI586" s="22"/>
      <c r="AJ586" s="22"/>
      <c r="AK586" s="22"/>
    </row>
    <row r="587" spans="1:37" ht="15.75" customHeight="1" x14ac:dyDescent="0.25">
      <c r="A587" s="22"/>
      <c r="B587" s="22"/>
      <c r="C587" s="22"/>
      <c r="D587" s="22"/>
      <c r="E587" s="22"/>
      <c r="H587" s="22"/>
      <c r="I587" s="22"/>
      <c r="J587" s="22"/>
      <c r="K587" s="22"/>
      <c r="N587" s="22"/>
      <c r="O587" s="22"/>
      <c r="P587" s="22"/>
      <c r="Q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H587" s="22"/>
      <c r="AI587" s="22"/>
      <c r="AJ587" s="22"/>
      <c r="AK587" s="22"/>
    </row>
    <row r="588" spans="1:37" ht="15.75" customHeight="1" x14ac:dyDescent="0.25">
      <c r="A588" s="22"/>
      <c r="B588" s="22"/>
      <c r="C588" s="22"/>
      <c r="D588" s="22"/>
      <c r="E588" s="22"/>
      <c r="H588" s="22"/>
      <c r="I588" s="22"/>
      <c r="J588" s="22"/>
      <c r="K588" s="22"/>
      <c r="N588" s="22"/>
      <c r="O588" s="22"/>
      <c r="P588" s="22"/>
      <c r="Q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H588" s="22"/>
      <c r="AI588" s="22"/>
      <c r="AJ588" s="22"/>
      <c r="AK588" s="22"/>
    </row>
    <row r="589" spans="1:37" ht="15.75" customHeight="1" x14ac:dyDescent="0.25">
      <c r="A589" s="22"/>
      <c r="B589" s="22"/>
      <c r="C589" s="22"/>
      <c r="D589" s="22"/>
      <c r="E589" s="22"/>
      <c r="H589" s="22"/>
      <c r="I589" s="22"/>
      <c r="J589" s="22"/>
      <c r="K589" s="22"/>
      <c r="N589" s="22"/>
      <c r="O589" s="22"/>
      <c r="P589" s="22"/>
      <c r="Q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H589" s="22"/>
      <c r="AI589" s="22"/>
      <c r="AJ589" s="22"/>
      <c r="AK589" s="22"/>
    </row>
    <row r="590" spans="1:37" ht="15.75" customHeight="1" x14ac:dyDescent="0.25">
      <c r="A590" s="22"/>
      <c r="B590" s="22"/>
      <c r="C590" s="22"/>
      <c r="D590" s="22"/>
      <c r="E590" s="22"/>
      <c r="H590" s="22"/>
      <c r="I590" s="22"/>
      <c r="J590" s="22"/>
      <c r="K590" s="22"/>
      <c r="N590" s="22"/>
      <c r="O590" s="22"/>
      <c r="P590" s="22"/>
      <c r="Q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H590" s="22"/>
      <c r="AI590" s="22"/>
      <c r="AJ590" s="22"/>
      <c r="AK590" s="22"/>
    </row>
    <row r="591" spans="1:37" ht="15.75" customHeight="1" x14ac:dyDescent="0.25">
      <c r="A591" s="22"/>
      <c r="B591" s="22"/>
      <c r="C591" s="22"/>
      <c r="D591" s="22"/>
      <c r="E591" s="22"/>
      <c r="H591" s="22"/>
      <c r="I591" s="22"/>
      <c r="J591" s="22"/>
      <c r="K591" s="22"/>
      <c r="N591" s="22"/>
      <c r="O591" s="22"/>
      <c r="P591" s="22"/>
      <c r="Q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H591" s="22"/>
      <c r="AI591" s="22"/>
      <c r="AJ591" s="22"/>
      <c r="AK591" s="22"/>
    </row>
    <row r="592" spans="1:37" ht="15.75" customHeight="1" x14ac:dyDescent="0.25">
      <c r="A592" s="22"/>
      <c r="B592" s="22"/>
      <c r="C592" s="22"/>
      <c r="D592" s="22"/>
      <c r="E592" s="22"/>
      <c r="H592" s="22"/>
      <c r="I592" s="22"/>
      <c r="J592" s="22"/>
      <c r="K592" s="22"/>
      <c r="N592" s="22"/>
      <c r="O592" s="22"/>
      <c r="P592" s="22"/>
      <c r="Q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H592" s="22"/>
      <c r="AI592" s="22"/>
      <c r="AJ592" s="22"/>
      <c r="AK592" s="22"/>
    </row>
    <row r="593" spans="1:37" ht="15.75" customHeight="1" x14ac:dyDescent="0.25">
      <c r="A593" s="22"/>
      <c r="B593" s="22"/>
      <c r="C593" s="22"/>
      <c r="D593" s="22"/>
      <c r="E593" s="22"/>
      <c r="H593" s="22"/>
      <c r="I593" s="22"/>
      <c r="J593" s="22"/>
      <c r="K593" s="22"/>
      <c r="N593" s="22"/>
      <c r="O593" s="22"/>
      <c r="P593" s="22"/>
      <c r="Q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H593" s="22"/>
      <c r="AI593" s="22"/>
      <c r="AJ593" s="22"/>
      <c r="AK593" s="22"/>
    </row>
    <row r="594" spans="1:37" ht="15.75" customHeight="1" x14ac:dyDescent="0.25">
      <c r="A594" s="22"/>
      <c r="B594" s="22"/>
      <c r="C594" s="22"/>
      <c r="D594" s="22"/>
      <c r="E594" s="22"/>
      <c r="H594" s="22"/>
      <c r="I594" s="22"/>
      <c r="J594" s="22"/>
      <c r="K594" s="22"/>
      <c r="N594" s="22"/>
      <c r="O594" s="22"/>
      <c r="P594" s="22"/>
      <c r="Q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H594" s="22"/>
      <c r="AI594" s="22"/>
      <c r="AJ594" s="22"/>
      <c r="AK594" s="22"/>
    </row>
    <row r="595" spans="1:37" ht="15.75" customHeight="1" x14ac:dyDescent="0.25">
      <c r="A595" s="22"/>
      <c r="B595" s="22"/>
      <c r="C595" s="22"/>
      <c r="D595" s="22"/>
      <c r="E595" s="22"/>
      <c r="H595" s="22"/>
      <c r="I595" s="22"/>
      <c r="J595" s="22"/>
      <c r="K595" s="22"/>
      <c r="N595" s="22"/>
      <c r="O595" s="22"/>
      <c r="P595" s="22"/>
      <c r="Q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H595" s="22"/>
      <c r="AI595" s="22"/>
      <c r="AJ595" s="22"/>
      <c r="AK595" s="22"/>
    </row>
    <row r="596" spans="1:37" ht="15.75" customHeight="1" x14ac:dyDescent="0.25">
      <c r="A596" s="22"/>
      <c r="B596" s="22"/>
      <c r="C596" s="22"/>
      <c r="D596" s="22"/>
      <c r="E596" s="22"/>
      <c r="H596" s="22"/>
      <c r="I596" s="22"/>
      <c r="J596" s="22"/>
      <c r="K596" s="22"/>
      <c r="N596" s="22"/>
      <c r="O596" s="22"/>
      <c r="P596" s="22"/>
      <c r="Q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H596" s="22"/>
      <c r="AI596" s="22"/>
      <c r="AJ596" s="22"/>
      <c r="AK596" s="22"/>
    </row>
    <row r="597" spans="1:37" ht="15.75" customHeight="1" x14ac:dyDescent="0.25">
      <c r="A597" s="22"/>
      <c r="B597" s="22"/>
      <c r="C597" s="22"/>
      <c r="D597" s="22"/>
      <c r="E597" s="22"/>
      <c r="H597" s="22"/>
      <c r="I597" s="22"/>
      <c r="J597" s="22"/>
      <c r="K597" s="22"/>
      <c r="N597" s="22"/>
      <c r="O597" s="22"/>
      <c r="P597" s="22"/>
      <c r="Q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H597" s="22"/>
      <c r="AI597" s="22"/>
      <c r="AJ597" s="22"/>
      <c r="AK597" s="22"/>
    </row>
    <row r="598" spans="1:37" ht="15.75" customHeight="1" x14ac:dyDescent="0.25">
      <c r="A598" s="22"/>
      <c r="B598" s="22"/>
      <c r="C598" s="22"/>
      <c r="D598" s="22"/>
      <c r="E598" s="22"/>
      <c r="H598" s="22"/>
      <c r="I598" s="22"/>
      <c r="J598" s="22"/>
      <c r="K598" s="22"/>
      <c r="N598" s="22"/>
      <c r="O598" s="22"/>
      <c r="P598" s="22"/>
      <c r="Q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H598" s="22"/>
      <c r="AI598" s="22"/>
      <c r="AJ598" s="22"/>
      <c r="AK598" s="22"/>
    </row>
    <row r="599" spans="1:37" ht="15.75" customHeight="1" x14ac:dyDescent="0.25">
      <c r="A599" s="22"/>
      <c r="B599" s="22"/>
      <c r="C599" s="22"/>
      <c r="D599" s="22"/>
      <c r="E599" s="22"/>
      <c r="H599" s="22"/>
      <c r="I599" s="22"/>
      <c r="J599" s="22"/>
      <c r="K599" s="22"/>
      <c r="N599" s="22"/>
      <c r="O599" s="22"/>
      <c r="P599" s="22"/>
      <c r="Q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H599" s="22"/>
      <c r="AI599" s="22"/>
      <c r="AJ599" s="22"/>
      <c r="AK599" s="22"/>
    </row>
    <row r="600" spans="1:37" ht="15.75" customHeight="1" x14ac:dyDescent="0.25">
      <c r="A600" s="22"/>
      <c r="B600" s="22"/>
      <c r="C600" s="22"/>
      <c r="D600" s="22"/>
      <c r="E600" s="22"/>
      <c r="H600" s="22"/>
      <c r="I600" s="22"/>
      <c r="J600" s="22"/>
      <c r="K600" s="22"/>
      <c r="N600" s="22"/>
      <c r="O600" s="22"/>
      <c r="P600" s="22"/>
      <c r="Q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H600" s="22"/>
      <c r="AI600" s="22"/>
      <c r="AJ600" s="22"/>
      <c r="AK600" s="22"/>
    </row>
    <row r="601" spans="1:37" ht="15.75" customHeight="1" x14ac:dyDescent="0.25">
      <c r="A601" s="22"/>
      <c r="B601" s="22"/>
      <c r="C601" s="22"/>
      <c r="D601" s="22"/>
      <c r="E601" s="22"/>
      <c r="H601" s="22"/>
      <c r="I601" s="22"/>
      <c r="J601" s="22"/>
      <c r="K601" s="22"/>
      <c r="N601" s="22"/>
      <c r="O601" s="22"/>
      <c r="P601" s="22"/>
      <c r="Q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H601" s="22"/>
      <c r="AI601" s="22"/>
      <c r="AJ601" s="22"/>
      <c r="AK601" s="22"/>
    </row>
    <row r="602" spans="1:37" ht="15.75" customHeight="1" x14ac:dyDescent="0.25">
      <c r="A602" s="22"/>
      <c r="B602" s="22"/>
      <c r="C602" s="22"/>
      <c r="D602" s="22"/>
      <c r="E602" s="22"/>
      <c r="H602" s="22"/>
      <c r="I602" s="22"/>
      <c r="J602" s="22"/>
      <c r="K602" s="22"/>
      <c r="N602" s="22"/>
      <c r="O602" s="22"/>
      <c r="P602" s="22"/>
      <c r="Q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H602" s="22"/>
      <c r="AI602" s="22"/>
      <c r="AJ602" s="22"/>
      <c r="AK602" s="22"/>
    </row>
    <row r="603" spans="1:37" ht="15.75" customHeight="1" x14ac:dyDescent="0.25">
      <c r="A603" s="22"/>
      <c r="B603" s="22"/>
      <c r="C603" s="22"/>
      <c r="D603" s="22"/>
      <c r="E603" s="22"/>
      <c r="H603" s="22"/>
      <c r="I603" s="22"/>
      <c r="J603" s="22"/>
      <c r="K603" s="22"/>
      <c r="N603" s="22"/>
      <c r="O603" s="22"/>
      <c r="P603" s="22"/>
      <c r="Q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H603" s="22"/>
      <c r="AI603" s="22"/>
      <c r="AJ603" s="22"/>
      <c r="AK603" s="22"/>
    </row>
    <row r="604" spans="1:37" ht="15.75" customHeight="1" x14ac:dyDescent="0.25">
      <c r="A604" s="22"/>
      <c r="B604" s="22"/>
      <c r="C604" s="22"/>
      <c r="D604" s="22"/>
      <c r="E604" s="22"/>
      <c r="H604" s="22"/>
      <c r="I604" s="22"/>
      <c r="J604" s="22"/>
      <c r="K604" s="22"/>
      <c r="N604" s="22"/>
      <c r="O604" s="22"/>
      <c r="P604" s="22"/>
      <c r="Q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H604" s="22"/>
      <c r="AI604" s="22"/>
      <c r="AJ604" s="22"/>
      <c r="AK604" s="22"/>
    </row>
    <row r="605" spans="1:37" ht="15.75" customHeight="1" x14ac:dyDescent="0.25">
      <c r="A605" s="22"/>
      <c r="B605" s="22"/>
      <c r="C605" s="22"/>
      <c r="D605" s="22"/>
      <c r="E605" s="22"/>
      <c r="H605" s="22"/>
      <c r="I605" s="22"/>
      <c r="J605" s="22"/>
      <c r="K605" s="22"/>
      <c r="N605" s="22"/>
      <c r="O605" s="22"/>
      <c r="P605" s="22"/>
      <c r="Q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H605" s="22"/>
      <c r="AI605" s="22"/>
      <c r="AJ605" s="22"/>
      <c r="AK605" s="22"/>
    </row>
    <row r="606" spans="1:37" ht="15.75" customHeight="1" x14ac:dyDescent="0.25">
      <c r="A606" s="22"/>
      <c r="B606" s="22"/>
      <c r="C606" s="22"/>
      <c r="D606" s="22"/>
      <c r="E606" s="22"/>
      <c r="H606" s="22"/>
      <c r="I606" s="22"/>
      <c r="J606" s="22"/>
      <c r="K606" s="22"/>
      <c r="N606" s="22"/>
      <c r="O606" s="22"/>
      <c r="P606" s="22"/>
      <c r="Q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H606" s="22"/>
      <c r="AI606" s="22"/>
      <c r="AJ606" s="22"/>
      <c r="AK606" s="22"/>
    </row>
    <row r="607" spans="1:37" ht="15.75" customHeight="1" x14ac:dyDescent="0.25">
      <c r="A607" s="22"/>
      <c r="B607" s="22"/>
      <c r="C607" s="22"/>
      <c r="D607" s="22"/>
      <c r="E607" s="22"/>
      <c r="H607" s="22"/>
      <c r="I607" s="22"/>
      <c r="J607" s="22"/>
      <c r="K607" s="22"/>
      <c r="N607" s="22"/>
      <c r="O607" s="22"/>
      <c r="P607" s="22"/>
      <c r="Q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H607" s="22"/>
      <c r="AI607" s="22"/>
      <c r="AJ607" s="22"/>
      <c r="AK607" s="22"/>
    </row>
    <row r="608" spans="1:37" ht="15.75" customHeight="1" x14ac:dyDescent="0.25">
      <c r="A608" s="22"/>
      <c r="B608" s="22"/>
      <c r="C608" s="22"/>
      <c r="D608" s="22"/>
      <c r="E608" s="22"/>
      <c r="H608" s="22"/>
      <c r="I608" s="22"/>
      <c r="J608" s="22"/>
      <c r="K608" s="22"/>
      <c r="N608" s="22"/>
      <c r="O608" s="22"/>
      <c r="P608" s="22"/>
      <c r="Q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H608" s="22"/>
      <c r="AI608" s="22"/>
      <c r="AJ608" s="22"/>
      <c r="AK608" s="22"/>
    </row>
    <row r="609" spans="1:37" ht="15.75" customHeight="1" x14ac:dyDescent="0.25">
      <c r="A609" s="22"/>
      <c r="B609" s="22"/>
      <c r="C609" s="22"/>
      <c r="D609" s="22"/>
      <c r="E609" s="22"/>
      <c r="H609" s="22"/>
      <c r="I609" s="22"/>
      <c r="J609" s="22"/>
      <c r="K609" s="22"/>
      <c r="N609" s="22"/>
      <c r="O609" s="22"/>
      <c r="P609" s="22"/>
      <c r="Q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H609" s="22"/>
      <c r="AI609" s="22"/>
      <c r="AJ609" s="22"/>
      <c r="AK609" s="22"/>
    </row>
    <row r="610" spans="1:37" ht="15.75" customHeight="1" x14ac:dyDescent="0.25">
      <c r="A610" s="22"/>
      <c r="B610" s="22"/>
      <c r="C610" s="22"/>
      <c r="D610" s="22"/>
      <c r="E610" s="22"/>
      <c r="H610" s="22"/>
      <c r="I610" s="22"/>
      <c r="J610" s="22"/>
      <c r="K610" s="22"/>
      <c r="N610" s="22"/>
      <c r="O610" s="22"/>
      <c r="P610" s="22"/>
      <c r="Q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H610" s="22"/>
      <c r="AI610" s="22"/>
      <c r="AJ610" s="22"/>
      <c r="AK610" s="22"/>
    </row>
    <row r="611" spans="1:37" ht="15.75" customHeight="1" x14ac:dyDescent="0.25">
      <c r="A611" s="22"/>
      <c r="B611" s="22"/>
      <c r="C611" s="22"/>
      <c r="D611" s="22"/>
      <c r="E611" s="22"/>
      <c r="H611" s="22"/>
      <c r="I611" s="22"/>
      <c r="J611" s="22"/>
      <c r="K611" s="22"/>
      <c r="N611" s="22"/>
      <c r="O611" s="22"/>
      <c r="P611" s="22"/>
      <c r="Q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H611" s="22"/>
      <c r="AI611" s="22"/>
      <c r="AJ611" s="22"/>
      <c r="AK611" s="22"/>
    </row>
    <row r="612" spans="1:37" ht="15.75" customHeight="1" x14ac:dyDescent="0.25">
      <c r="A612" s="22"/>
      <c r="B612" s="22"/>
      <c r="C612" s="22"/>
      <c r="D612" s="22"/>
      <c r="E612" s="22"/>
      <c r="H612" s="22"/>
      <c r="I612" s="22"/>
      <c r="J612" s="22"/>
      <c r="K612" s="22"/>
      <c r="N612" s="22"/>
      <c r="O612" s="22"/>
      <c r="P612" s="22"/>
      <c r="Q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H612" s="22"/>
      <c r="AI612" s="22"/>
      <c r="AJ612" s="22"/>
      <c r="AK612" s="22"/>
    </row>
    <row r="613" spans="1:37" ht="15.75" customHeight="1" x14ac:dyDescent="0.25">
      <c r="A613" s="22"/>
      <c r="B613" s="22"/>
      <c r="C613" s="22"/>
      <c r="D613" s="22"/>
      <c r="E613" s="22"/>
      <c r="H613" s="22"/>
      <c r="I613" s="22"/>
      <c r="J613" s="22"/>
      <c r="K613" s="22"/>
      <c r="N613" s="22"/>
      <c r="O613" s="22"/>
      <c r="P613" s="22"/>
      <c r="Q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H613" s="22"/>
      <c r="AI613" s="22"/>
      <c r="AJ613" s="22"/>
      <c r="AK613" s="22"/>
    </row>
    <row r="614" spans="1:37" ht="15.75" customHeight="1" x14ac:dyDescent="0.25">
      <c r="A614" s="22"/>
      <c r="B614" s="22"/>
      <c r="C614" s="22"/>
      <c r="D614" s="22"/>
      <c r="E614" s="22"/>
      <c r="H614" s="22"/>
      <c r="I614" s="22"/>
      <c r="J614" s="22"/>
      <c r="K614" s="22"/>
      <c r="N614" s="22"/>
      <c r="O614" s="22"/>
      <c r="P614" s="22"/>
      <c r="Q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H614" s="22"/>
      <c r="AI614" s="22"/>
      <c r="AJ614" s="22"/>
      <c r="AK614" s="22"/>
    </row>
    <row r="615" spans="1:37" ht="15.75" customHeight="1" x14ac:dyDescent="0.25">
      <c r="A615" s="22"/>
      <c r="B615" s="22"/>
      <c r="C615" s="22"/>
      <c r="D615" s="22"/>
      <c r="E615" s="22"/>
      <c r="H615" s="22"/>
      <c r="I615" s="22"/>
      <c r="J615" s="22"/>
      <c r="K615" s="22"/>
      <c r="N615" s="22"/>
      <c r="O615" s="22"/>
      <c r="P615" s="22"/>
      <c r="Q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H615" s="22"/>
      <c r="AI615" s="22"/>
      <c r="AJ615" s="22"/>
      <c r="AK615" s="22"/>
    </row>
    <row r="616" spans="1:37" ht="15.75" customHeight="1" x14ac:dyDescent="0.25">
      <c r="A616" s="22"/>
      <c r="B616" s="22"/>
      <c r="C616" s="22"/>
      <c r="D616" s="22"/>
      <c r="E616" s="22"/>
      <c r="H616" s="22"/>
      <c r="I616" s="22"/>
      <c r="J616" s="22"/>
      <c r="K616" s="22"/>
      <c r="N616" s="22"/>
      <c r="O616" s="22"/>
      <c r="P616" s="22"/>
      <c r="Q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H616" s="22"/>
      <c r="AI616" s="22"/>
      <c r="AJ616" s="22"/>
      <c r="AK616" s="22"/>
    </row>
    <row r="617" spans="1:37" ht="15.75" customHeight="1" x14ac:dyDescent="0.25">
      <c r="A617" s="22"/>
      <c r="B617" s="22"/>
      <c r="C617" s="22"/>
      <c r="D617" s="22"/>
      <c r="E617" s="22"/>
      <c r="H617" s="22"/>
      <c r="I617" s="22"/>
      <c r="J617" s="22"/>
      <c r="K617" s="22"/>
      <c r="N617" s="22"/>
      <c r="O617" s="22"/>
      <c r="P617" s="22"/>
      <c r="Q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H617" s="22"/>
      <c r="AI617" s="22"/>
      <c r="AJ617" s="22"/>
      <c r="AK617" s="22"/>
    </row>
    <row r="618" spans="1:37" ht="15.75" customHeight="1" x14ac:dyDescent="0.25">
      <c r="A618" s="22"/>
      <c r="B618" s="22"/>
      <c r="C618" s="22"/>
      <c r="D618" s="22"/>
      <c r="E618" s="22"/>
      <c r="H618" s="22"/>
      <c r="I618" s="22"/>
      <c r="J618" s="22"/>
      <c r="K618" s="22"/>
      <c r="N618" s="22"/>
      <c r="O618" s="22"/>
      <c r="P618" s="22"/>
      <c r="Q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H618" s="22"/>
      <c r="AI618" s="22"/>
      <c r="AJ618" s="22"/>
      <c r="AK618" s="22"/>
    </row>
    <row r="619" spans="1:37" ht="15.75" customHeight="1" x14ac:dyDescent="0.25">
      <c r="A619" s="22"/>
      <c r="B619" s="22"/>
      <c r="C619" s="22"/>
      <c r="D619" s="22"/>
      <c r="E619" s="22"/>
      <c r="H619" s="22"/>
      <c r="I619" s="22"/>
      <c r="J619" s="22"/>
      <c r="K619" s="22"/>
      <c r="N619" s="22"/>
      <c r="O619" s="22"/>
      <c r="P619" s="22"/>
      <c r="Q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H619" s="22"/>
      <c r="AI619" s="22"/>
      <c r="AJ619" s="22"/>
      <c r="AK619" s="22"/>
    </row>
    <row r="620" spans="1:37" ht="15.75" customHeight="1" x14ac:dyDescent="0.25">
      <c r="A620" s="22"/>
      <c r="B620" s="22"/>
      <c r="C620" s="22"/>
      <c r="D620" s="22"/>
      <c r="E620" s="22"/>
      <c r="H620" s="22"/>
      <c r="I620" s="22"/>
      <c r="J620" s="22"/>
      <c r="K620" s="22"/>
      <c r="N620" s="22"/>
      <c r="O620" s="22"/>
      <c r="P620" s="22"/>
      <c r="Q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H620" s="22"/>
      <c r="AI620" s="22"/>
      <c r="AJ620" s="22"/>
      <c r="AK620" s="22"/>
    </row>
    <row r="621" spans="1:37" ht="15.75" customHeight="1" x14ac:dyDescent="0.25">
      <c r="A621" s="22"/>
      <c r="B621" s="22"/>
      <c r="C621" s="22"/>
      <c r="D621" s="22"/>
      <c r="E621" s="22"/>
      <c r="H621" s="22"/>
      <c r="I621" s="22"/>
      <c r="J621" s="22"/>
      <c r="K621" s="22"/>
      <c r="N621" s="22"/>
      <c r="O621" s="22"/>
      <c r="P621" s="22"/>
      <c r="Q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H621" s="22"/>
      <c r="AI621" s="22"/>
      <c r="AJ621" s="22"/>
      <c r="AK621" s="22"/>
    </row>
    <row r="622" spans="1:37" ht="15.75" customHeight="1" x14ac:dyDescent="0.25">
      <c r="A622" s="22"/>
      <c r="B622" s="22"/>
      <c r="C622" s="22"/>
      <c r="D622" s="22"/>
      <c r="E622" s="22"/>
      <c r="H622" s="22"/>
      <c r="I622" s="22"/>
      <c r="J622" s="22"/>
      <c r="K622" s="22"/>
      <c r="N622" s="22"/>
      <c r="O622" s="22"/>
      <c r="P622" s="22"/>
      <c r="Q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H622" s="22"/>
      <c r="AI622" s="22"/>
      <c r="AJ622" s="22"/>
      <c r="AK622" s="22"/>
    </row>
    <row r="623" spans="1:37" ht="15.75" customHeight="1" x14ac:dyDescent="0.25">
      <c r="A623" s="22"/>
      <c r="B623" s="22"/>
      <c r="C623" s="22"/>
      <c r="D623" s="22"/>
      <c r="E623" s="22"/>
      <c r="H623" s="22"/>
      <c r="I623" s="22"/>
      <c r="J623" s="22"/>
      <c r="K623" s="22"/>
      <c r="N623" s="22"/>
      <c r="O623" s="22"/>
      <c r="P623" s="22"/>
      <c r="Q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H623" s="22"/>
      <c r="AI623" s="22"/>
      <c r="AJ623" s="22"/>
      <c r="AK623" s="22"/>
    </row>
    <row r="624" spans="1:37" ht="15.75" customHeight="1" x14ac:dyDescent="0.25">
      <c r="A624" s="22"/>
      <c r="B624" s="22"/>
      <c r="C624" s="22"/>
      <c r="D624" s="22"/>
      <c r="E624" s="22"/>
      <c r="H624" s="22"/>
      <c r="I624" s="22"/>
      <c r="J624" s="22"/>
      <c r="K624" s="22"/>
      <c r="N624" s="22"/>
      <c r="O624" s="22"/>
      <c r="P624" s="22"/>
      <c r="Q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H624" s="22"/>
      <c r="AI624" s="22"/>
      <c r="AJ624" s="22"/>
      <c r="AK624" s="22"/>
    </row>
    <row r="625" spans="1:37" ht="15.75" customHeight="1" x14ac:dyDescent="0.25">
      <c r="A625" s="22"/>
      <c r="B625" s="22"/>
      <c r="C625" s="22"/>
      <c r="D625" s="22"/>
      <c r="E625" s="22"/>
      <c r="H625" s="22"/>
      <c r="I625" s="22"/>
      <c r="J625" s="22"/>
      <c r="K625" s="22"/>
      <c r="N625" s="22"/>
      <c r="O625" s="22"/>
      <c r="P625" s="22"/>
      <c r="Q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H625" s="22"/>
      <c r="AI625" s="22"/>
      <c r="AJ625" s="22"/>
      <c r="AK625" s="22"/>
    </row>
    <row r="626" spans="1:37" ht="15.75" customHeight="1" x14ac:dyDescent="0.25">
      <c r="A626" s="22"/>
      <c r="B626" s="22"/>
      <c r="C626" s="22"/>
      <c r="D626" s="22"/>
      <c r="E626" s="22"/>
      <c r="H626" s="22"/>
      <c r="I626" s="22"/>
      <c r="J626" s="22"/>
      <c r="K626" s="22"/>
      <c r="N626" s="22"/>
      <c r="O626" s="22"/>
      <c r="P626" s="22"/>
      <c r="Q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H626" s="22"/>
      <c r="AI626" s="22"/>
      <c r="AJ626" s="22"/>
      <c r="AK626" s="22"/>
    </row>
    <row r="627" spans="1:37" ht="15.75" customHeight="1" x14ac:dyDescent="0.25">
      <c r="A627" s="22"/>
      <c r="B627" s="22"/>
      <c r="C627" s="22"/>
      <c r="D627" s="22"/>
      <c r="E627" s="22"/>
      <c r="H627" s="22"/>
      <c r="I627" s="22"/>
      <c r="J627" s="22"/>
      <c r="K627" s="22"/>
      <c r="N627" s="22"/>
      <c r="O627" s="22"/>
      <c r="P627" s="22"/>
      <c r="Q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H627" s="22"/>
      <c r="AI627" s="22"/>
      <c r="AJ627" s="22"/>
      <c r="AK627" s="22"/>
    </row>
    <row r="628" spans="1:37" ht="15.75" customHeight="1" x14ac:dyDescent="0.25">
      <c r="A628" s="22"/>
      <c r="B628" s="22"/>
      <c r="C628" s="22"/>
      <c r="D628" s="22"/>
      <c r="E628" s="22"/>
      <c r="H628" s="22"/>
      <c r="I628" s="22"/>
      <c r="J628" s="22"/>
      <c r="K628" s="22"/>
      <c r="N628" s="22"/>
      <c r="O628" s="22"/>
      <c r="P628" s="22"/>
      <c r="Q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H628" s="22"/>
      <c r="AI628" s="22"/>
      <c r="AJ628" s="22"/>
      <c r="AK628" s="22"/>
    </row>
    <row r="629" spans="1:37" ht="15.75" customHeight="1" x14ac:dyDescent="0.25">
      <c r="A629" s="22"/>
      <c r="B629" s="22"/>
      <c r="C629" s="22"/>
      <c r="D629" s="22"/>
      <c r="E629" s="22"/>
      <c r="H629" s="22"/>
      <c r="I629" s="22"/>
      <c r="J629" s="22"/>
      <c r="K629" s="22"/>
      <c r="N629" s="22"/>
      <c r="O629" s="22"/>
      <c r="P629" s="22"/>
      <c r="Q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H629" s="22"/>
      <c r="AI629" s="22"/>
      <c r="AJ629" s="22"/>
      <c r="AK629" s="22"/>
    </row>
    <row r="630" spans="1:37" ht="15.75" customHeight="1" x14ac:dyDescent="0.25">
      <c r="A630" s="22"/>
      <c r="B630" s="22"/>
      <c r="C630" s="22"/>
      <c r="D630" s="22"/>
      <c r="E630" s="22"/>
      <c r="H630" s="22"/>
      <c r="I630" s="22"/>
      <c r="J630" s="22"/>
      <c r="K630" s="22"/>
      <c r="N630" s="22"/>
      <c r="O630" s="22"/>
      <c r="P630" s="22"/>
      <c r="Q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H630" s="22"/>
      <c r="AI630" s="22"/>
      <c r="AJ630" s="22"/>
      <c r="AK630" s="22"/>
    </row>
    <row r="631" spans="1:37" ht="15.75" customHeight="1" x14ac:dyDescent="0.25">
      <c r="A631" s="22"/>
      <c r="B631" s="22"/>
      <c r="C631" s="22"/>
      <c r="D631" s="22"/>
      <c r="E631" s="22"/>
      <c r="H631" s="22"/>
      <c r="I631" s="22"/>
      <c r="J631" s="22"/>
      <c r="K631" s="22"/>
      <c r="N631" s="22"/>
      <c r="O631" s="22"/>
      <c r="P631" s="22"/>
      <c r="Q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H631" s="22"/>
      <c r="AI631" s="22"/>
      <c r="AJ631" s="22"/>
      <c r="AK631" s="22"/>
    </row>
    <row r="632" spans="1:37" ht="15.75" customHeight="1" x14ac:dyDescent="0.25">
      <c r="A632" s="22"/>
      <c r="B632" s="22"/>
      <c r="C632" s="22"/>
      <c r="D632" s="22"/>
      <c r="E632" s="22"/>
      <c r="H632" s="22"/>
      <c r="I632" s="22"/>
      <c r="J632" s="22"/>
      <c r="K632" s="22"/>
      <c r="N632" s="22"/>
      <c r="O632" s="22"/>
      <c r="P632" s="22"/>
      <c r="Q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H632" s="22"/>
      <c r="AI632" s="22"/>
      <c r="AJ632" s="22"/>
      <c r="AK632" s="22"/>
    </row>
    <row r="633" spans="1:37" ht="15.75" customHeight="1" x14ac:dyDescent="0.25">
      <c r="A633" s="22"/>
      <c r="B633" s="22"/>
      <c r="C633" s="22"/>
      <c r="D633" s="22"/>
      <c r="E633" s="22"/>
      <c r="H633" s="22"/>
      <c r="I633" s="22"/>
      <c r="J633" s="22"/>
      <c r="K633" s="22"/>
      <c r="N633" s="22"/>
      <c r="O633" s="22"/>
      <c r="P633" s="22"/>
      <c r="Q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H633" s="22"/>
      <c r="AI633" s="22"/>
      <c r="AJ633" s="22"/>
      <c r="AK633" s="22"/>
    </row>
    <row r="634" spans="1:37" ht="15.75" customHeight="1" x14ac:dyDescent="0.25">
      <c r="A634" s="22"/>
      <c r="B634" s="22"/>
      <c r="C634" s="22"/>
      <c r="D634" s="22"/>
      <c r="E634" s="22"/>
      <c r="H634" s="22"/>
      <c r="I634" s="22"/>
      <c r="J634" s="22"/>
      <c r="K634" s="22"/>
      <c r="N634" s="22"/>
      <c r="O634" s="22"/>
      <c r="P634" s="22"/>
      <c r="Q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H634" s="22"/>
      <c r="AI634" s="22"/>
      <c r="AJ634" s="22"/>
      <c r="AK634" s="22"/>
    </row>
    <row r="635" spans="1:37" ht="15.75" customHeight="1" x14ac:dyDescent="0.25">
      <c r="A635" s="22"/>
      <c r="B635" s="22"/>
      <c r="C635" s="22"/>
      <c r="D635" s="22"/>
      <c r="E635" s="22"/>
      <c r="H635" s="22"/>
      <c r="I635" s="22"/>
      <c r="J635" s="22"/>
      <c r="K635" s="22"/>
      <c r="N635" s="22"/>
      <c r="O635" s="22"/>
      <c r="P635" s="22"/>
      <c r="Q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H635" s="22"/>
      <c r="AI635" s="22"/>
      <c r="AJ635" s="22"/>
      <c r="AK635" s="22"/>
    </row>
    <row r="636" spans="1:37" ht="15.75" customHeight="1" x14ac:dyDescent="0.25">
      <c r="A636" s="22"/>
      <c r="B636" s="22"/>
      <c r="C636" s="22"/>
      <c r="D636" s="22"/>
      <c r="E636" s="22"/>
      <c r="H636" s="22"/>
      <c r="I636" s="22"/>
      <c r="J636" s="22"/>
      <c r="K636" s="22"/>
      <c r="N636" s="22"/>
      <c r="O636" s="22"/>
      <c r="P636" s="22"/>
      <c r="Q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H636" s="22"/>
      <c r="AI636" s="22"/>
      <c r="AJ636" s="22"/>
      <c r="AK636" s="22"/>
    </row>
    <row r="637" spans="1:37" ht="15.75" customHeight="1" x14ac:dyDescent="0.25">
      <c r="A637" s="22"/>
      <c r="B637" s="22"/>
      <c r="C637" s="22"/>
      <c r="D637" s="22"/>
      <c r="E637" s="22"/>
      <c r="H637" s="22"/>
      <c r="I637" s="22"/>
      <c r="J637" s="22"/>
      <c r="K637" s="22"/>
      <c r="N637" s="22"/>
      <c r="O637" s="22"/>
      <c r="P637" s="22"/>
      <c r="Q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H637" s="22"/>
      <c r="AI637" s="22"/>
      <c r="AJ637" s="22"/>
      <c r="AK637" s="22"/>
    </row>
    <row r="638" spans="1:37" ht="15.75" customHeight="1" x14ac:dyDescent="0.25">
      <c r="A638" s="22"/>
      <c r="B638" s="22"/>
      <c r="C638" s="22"/>
      <c r="D638" s="22"/>
      <c r="E638" s="22"/>
      <c r="H638" s="22"/>
      <c r="I638" s="22"/>
      <c r="J638" s="22"/>
      <c r="K638" s="22"/>
      <c r="N638" s="22"/>
      <c r="O638" s="22"/>
      <c r="P638" s="22"/>
      <c r="Q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H638" s="22"/>
      <c r="AI638" s="22"/>
      <c r="AJ638" s="22"/>
      <c r="AK638" s="22"/>
    </row>
    <row r="639" spans="1:37" ht="15.75" customHeight="1" x14ac:dyDescent="0.25">
      <c r="A639" s="22"/>
      <c r="B639" s="22"/>
      <c r="C639" s="22"/>
      <c r="D639" s="22"/>
      <c r="E639" s="22"/>
      <c r="H639" s="22"/>
      <c r="I639" s="22"/>
      <c r="J639" s="22"/>
      <c r="K639" s="22"/>
      <c r="N639" s="22"/>
      <c r="O639" s="22"/>
      <c r="P639" s="22"/>
      <c r="Q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H639" s="22"/>
      <c r="AI639" s="22"/>
      <c r="AJ639" s="22"/>
      <c r="AK639" s="22"/>
    </row>
    <row r="640" spans="1:37" ht="15.75" customHeight="1" x14ac:dyDescent="0.25">
      <c r="A640" s="22"/>
      <c r="B640" s="22"/>
      <c r="C640" s="22"/>
      <c r="D640" s="22"/>
      <c r="E640" s="22"/>
      <c r="H640" s="22"/>
      <c r="I640" s="22"/>
      <c r="J640" s="22"/>
      <c r="K640" s="22"/>
      <c r="N640" s="22"/>
      <c r="O640" s="22"/>
      <c r="P640" s="22"/>
      <c r="Q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H640" s="22"/>
      <c r="AI640" s="22"/>
      <c r="AJ640" s="22"/>
      <c r="AK640" s="22"/>
    </row>
    <row r="641" spans="1:37" ht="15.75" customHeight="1" x14ac:dyDescent="0.25">
      <c r="A641" s="22"/>
      <c r="B641" s="22"/>
      <c r="C641" s="22"/>
      <c r="D641" s="22"/>
      <c r="E641" s="22"/>
      <c r="H641" s="22"/>
      <c r="I641" s="22"/>
      <c r="J641" s="22"/>
      <c r="K641" s="22"/>
      <c r="N641" s="22"/>
      <c r="O641" s="22"/>
      <c r="P641" s="22"/>
      <c r="Q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H641" s="22"/>
      <c r="AI641" s="22"/>
      <c r="AJ641" s="22"/>
      <c r="AK641" s="22"/>
    </row>
    <row r="642" spans="1:37" ht="15.75" customHeight="1" x14ac:dyDescent="0.25">
      <c r="A642" s="22"/>
      <c r="B642" s="22"/>
      <c r="C642" s="22"/>
      <c r="D642" s="22"/>
      <c r="E642" s="22"/>
      <c r="H642" s="22"/>
      <c r="I642" s="22"/>
      <c r="J642" s="22"/>
      <c r="K642" s="22"/>
      <c r="N642" s="22"/>
      <c r="O642" s="22"/>
      <c r="P642" s="22"/>
      <c r="Q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H642" s="22"/>
      <c r="AI642" s="22"/>
      <c r="AJ642" s="22"/>
      <c r="AK642" s="22"/>
    </row>
    <row r="643" spans="1:37" ht="15.75" customHeight="1" x14ac:dyDescent="0.25">
      <c r="A643" s="22"/>
      <c r="B643" s="22"/>
      <c r="C643" s="22"/>
      <c r="D643" s="22"/>
      <c r="E643" s="22"/>
      <c r="H643" s="22"/>
      <c r="I643" s="22"/>
      <c r="J643" s="22"/>
      <c r="K643" s="22"/>
      <c r="N643" s="22"/>
      <c r="O643" s="22"/>
      <c r="P643" s="22"/>
      <c r="Q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H643" s="22"/>
      <c r="AI643" s="22"/>
      <c r="AJ643" s="22"/>
      <c r="AK643" s="22"/>
    </row>
    <row r="644" spans="1:37" ht="15.75" customHeight="1" x14ac:dyDescent="0.25">
      <c r="A644" s="22"/>
      <c r="B644" s="22"/>
      <c r="C644" s="22"/>
      <c r="D644" s="22"/>
      <c r="E644" s="22"/>
      <c r="H644" s="22"/>
      <c r="I644" s="22"/>
      <c r="J644" s="22"/>
      <c r="K644" s="22"/>
      <c r="N644" s="22"/>
      <c r="O644" s="22"/>
      <c r="P644" s="22"/>
      <c r="Q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H644" s="22"/>
      <c r="AI644" s="22"/>
      <c r="AJ644" s="22"/>
      <c r="AK644" s="22"/>
    </row>
    <row r="645" spans="1:37" ht="15.75" customHeight="1" x14ac:dyDescent="0.25">
      <c r="A645" s="22"/>
      <c r="B645" s="22"/>
      <c r="C645" s="22"/>
      <c r="D645" s="22"/>
      <c r="E645" s="22"/>
      <c r="H645" s="22"/>
      <c r="I645" s="22"/>
      <c r="J645" s="22"/>
      <c r="K645" s="22"/>
      <c r="N645" s="22"/>
      <c r="O645" s="22"/>
      <c r="P645" s="22"/>
      <c r="Q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H645" s="22"/>
      <c r="AI645" s="22"/>
      <c r="AJ645" s="22"/>
      <c r="AK645" s="22"/>
    </row>
    <row r="646" spans="1:37" ht="15.75" customHeight="1" x14ac:dyDescent="0.25">
      <c r="A646" s="22"/>
      <c r="B646" s="22"/>
      <c r="C646" s="22"/>
      <c r="D646" s="22"/>
      <c r="E646" s="22"/>
      <c r="H646" s="22"/>
      <c r="I646" s="22"/>
      <c r="J646" s="22"/>
      <c r="K646" s="22"/>
      <c r="N646" s="22"/>
      <c r="O646" s="22"/>
      <c r="P646" s="22"/>
      <c r="Q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H646" s="22"/>
      <c r="AI646" s="22"/>
      <c r="AJ646" s="22"/>
      <c r="AK646" s="22"/>
    </row>
    <row r="647" spans="1:37" ht="15.75" customHeight="1" x14ac:dyDescent="0.25">
      <c r="A647" s="22"/>
      <c r="B647" s="22"/>
      <c r="C647" s="22"/>
      <c r="D647" s="22"/>
      <c r="E647" s="22"/>
      <c r="H647" s="22"/>
      <c r="I647" s="22"/>
      <c r="J647" s="22"/>
      <c r="K647" s="22"/>
      <c r="N647" s="22"/>
      <c r="O647" s="22"/>
      <c r="P647" s="22"/>
      <c r="Q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H647" s="22"/>
      <c r="AI647" s="22"/>
      <c r="AJ647" s="22"/>
      <c r="AK647" s="22"/>
    </row>
    <row r="648" spans="1:37" ht="15.75" customHeight="1" x14ac:dyDescent="0.25">
      <c r="A648" s="22"/>
      <c r="B648" s="22"/>
      <c r="C648" s="22"/>
      <c r="D648" s="22"/>
      <c r="E648" s="22"/>
      <c r="H648" s="22"/>
      <c r="I648" s="22"/>
      <c r="J648" s="22"/>
      <c r="K648" s="22"/>
      <c r="N648" s="22"/>
      <c r="O648" s="22"/>
      <c r="P648" s="22"/>
      <c r="Q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H648" s="22"/>
      <c r="AI648" s="22"/>
      <c r="AJ648" s="22"/>
      <c r="AK648" s="22"/>
    </row>
    <row r="649" spans="1:37" ht="15.75" customHeight="1" x14ac:dyDescent="0.25">
      <c r="A649" s="22"/>
      <c r="B649" s="22"/>
      <c r="C649" s="22"/>
      <c r="D649" s="22"/>
      <c r="E649" s="22"/>
      <c r="H649" s="22"/>
      <c r="I649" s="22"/>
      <c r="J649" s="22"/>
      <c r="K649" s="22"/>
      <c r="N649" s="22"/>
      <c r="O649" s="22"/>
      <c r="P649" s="22"/>
      <c r="Q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H649" s="22"/>
      <c r="AI649" s="22"/>
      <c r="AJ649" s="22"/>
      <c r="AK649" s="22"/>
    </row>
    <row r="650" spans="1:37" ht="15.75" customHeight="1" x14ac:dyDescent="0.25">
      <c r="A650" s="22"/>
      <c r="B650" s="22"/>
      <c r="C650" s="22"/>
      <c r="D650" s="22"/>
      <c r="E650" s="22"/>
      <c r="H650" s="22"/>
      <c r="I650" s="22"/>
      <c r="J650" s="22"/>
      <c r="K650" s="22"/>
      <c r="N650" s="22"/>
      <c r="O650" s="22"/>
      <c r="P650" s="22"/>
      <c r="Q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H650" s="22"/>
      <c r="AI650" s="22"/>
      <c r="AJ650" s="22"/>
      <c r="AK650" s="22"/>
    </row>
    <row r="651" spans="1:37" ht="15.75" customHeight="1" x14ac:dyDescent="0.25">
      <c r="A651" s="22"/>
      <c r="B651" s="22"/>
      <c r="C651" s="22"/>
      <c r="D651" s="22"/>
      <c r="E651" s="22"/>
      <c r="H651" s="22"/>
      <c r="I651" s="22"/>
      <c r="J651" s="22"/>
      <c r="K651" s="22"/>
      <c r="N651" s="22"/>
      <c r="O651" s="22"/>
      <c r="P651" s="22"/>
      <c r="Q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H651" s="22"/>
      <c r="AI651" s="22"/>
      <c r="AJ651" s="22"/>
      <c r="AK651" s="22"/>
    </row>
    <row r="652" spans="1:37" ht="15.75" customHeight="1" x14ac:dyDescent="0.25">
      <c r="A652" s="22"/>
      <c r="B652" s="22"/>
      <c r="C652" s="22"/>
      <c r="D652" s="22"/>
      <c r="E652" s="22"/>
      <c r="H652" s="22"/>
      <c r="I652" s="22"/>
      <c r="J652" s="22"/>
      <c r="K652" s="22"/>
      <c r="N652" s="22"/>
      <c r="O652" s="22"/>
      <c r="P652" s="22"/>
      <c r="Q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H652" s="22"/>
      <c r="AI652" s="22"/>
      <c r="AJ652" s="22"/>
      <c r="AK652" s="22"/>
    </row>
    <row r="653" spans="1:37" ht="15.75" customHeight="1" x14ac:dyDescent="0.25">
      <c r="A653" s="22"/>
      <c r="B653" s="22"/>
      <c r="C653" s="22"/>
      <c r="D653" s="22"/>
      <c r="E653" s="22"/>
      <c r="H653" s="22"/>
      <c r="I653" s="22"/>
      <c r="J653" s="22"/>
      <c r="K653" s="22"/>
      <c r="N653" s="22"/>
      <c r="O653" s="22"/>
      <c r="P653" s="22"/>
      <c r="Q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H653" s="22"/>
      <c r="AI653" s="22"/>
      <c r="AJ653" s="22"/>
      <c r="AK653" s="22"/>
    </row>
    <row r="654" spans="1:37" ht="15.75" customHeight="1" x14ac:dyDescent="0.25">
      <c r="A654" s="22"/>
      <c r="B654" s="22"/>
      <c r="C654" s="22"/>
      <c r="D654" s="22"/>
      <c r="E654" s="22"/>
      <c r="H654" s="22"/>
      <c r="I654" s="22"/>
      <c r="J654" s="22"/>
      <c r="K654" s="22"/>
      <c r="N654" s="22"/>
      <c r="O654" s="22"/>
      <c r="P654" s="22"/>
      <c r="Q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H654" s="22"/>
      <c r="AI654" s="22"/>
      <c r="AJ654" s="22"/>
      <c r="AK654" s="22"/>
    </row>
    <row r="655" spans="1:37" ht="15.75" customHeight="1" x14ac:dyDescent="0.25">
      <c r="A655" s="22"/>
      <c r="B655" s="22"/>
      <c r="C655" s="22"/>
      <c r="D655" s="22"/>
      <c r="E655" s="22"/>
      <c r="H655" s="22"/>
      <c r="I655" s="22"/>
      <c r="J655" s="22"/>
      <c r="K655" s="22"/>
      <c r="N655" s="22"/>
      <c r="O655" s="22"/>
      <c r="P655" s="22"/>
      <c r="Q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H655" s="22"/>
      <c r="AI655" s="22"/>
      <c r="AJ655" s="22"/>
      <c r="AK655" s="22"/>
    </row>
    <row r="656" spans="1:37" ht="15.75" customHeight="1" x14ac:dyDescent="0.25">
      <c r="A656" s="22"/>
      <c r="B656" s="22"/>
      <c r="C656" s="22"/>
      <c r="D656" s="22"/>
      <c r="E656" s="22"/>
      <c r="H656" s="22"/>
      <c r="I656" s="22"/>
      <c r="J656" s="22"/>
      <c r="K656" s="22"/>
      <c r="N656" s="22"/>
      <c r="O656" s="22"/>
      <c r="P656" s="22"/>
      <c r="Q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H656" s="22"/>
      <c r="AI656" s="22"/>
      <c r="AJ656" s="22"/>
      <c r="AK656" s="22"/>
    </row>
    <row r="657" spans="1:37" ht="15.75" customHeight="1" x14ac:dyDescent="0.25">
      <c r="A657" s="22"/>
      <c r="B657" s="22"/>
      <c r="C657" s="22"/>
      <c r="D657" s="22"/>
      <c r="E657" s="22"/>
      <c r="H657" s="22"/>
      <c r="I657" s="22"/>
      <c r="J657" s="22"/>
      <c r="K657" s="22"/>
      <c r="N657" s="22"/>
      <c r="O657" s="22"/>
      <c r="P657" s="22"/>
      <c r="Q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H657" s="22"/>
      <c r="AI657" s="22"/>
      <c r="AJ657" s="22"/>
      <c r="AK657" s="22"/>
    </row>
    <row r="658" spans="1:37" ht="15.75" customHeight="1" x14ac:dyDescent="0.25">
      <c r="A658" s="22"/>
      <c r="B658" s="22"/>
      <c r="C658" s="22"/>
      <c r="D658" s="22"/>
      <c r="E658" s="22"/>
      <c r="H658" s="22"/>
      <c r="I658" s="22"/>
      <c r="J658" s="22"/>
      <c r="K658" s="22"/>
      <c r="N658" s="22"/>
      <c r="O658" s="22"/>
      <c r="P658" s="22"/>
      <c r="Q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H658" s="22"/>
      <c r="AI658" s="22"/>
      <c r="AJ658" s="22"/>
      <c r="AK658" s="22"/>
    </row>
    <row r="659" spans="1:37" ht="15.75" customHeight="1" x14ac:dyDescent="0.25">
      <c r="A659" s="22"/>
      <c r="B659" s="22"/>
      <c r="C659" s="22"/>
      <c r="D659" s="22"/>
      <c r="E659" s="22"/>
      <c r="H659" s="22"/>
      <c r="I659" s="22"/>
      <c r="J659" s="22"/>
      <c r="K659" s="22"/>
      <c r="N659" s="22"/>
      <c r="O659" s="22"/>
      <c r="P659" s="22"/>
      <c r="Q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H659" s="22"/>
      <c r="AI659" s="22"/>
      <c r="AJ659" s="22"/>
      <c r="AK659" s="22"/>
    </row>
    <row r="660" spans="1:37" ht="15.75" customHeight="1" x14ac:dyDescent="0.25">
      <c r="A660" s="22"/>
      <c r="B660" s="22"/>
      <c r="C660" s="22"/>
      <c r="D660" s="22"/>
      <c r="E660" s="22"/>
      <c r="H660" s="22"/>
      <c r="I660" s="22"/>
      <c r="J660" s="22"/>
      <c r="K660" s="22"/>
      <c r="N660" s="22"/>
      <c r="O660" s="22"/>
      <c r="P660" s="22"/>
      <c r="Q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H660" s="22"/>
      <c r="AI660" s="22"/>
      <c r="AJ660" s="22"/>
      <c r="AK660" s="22"/>
    </row>
    <row r="661" spans="1:37" ht="15.75" customHeight="1" x14ac:dyDescent="0.25">
      <c r="A661" s="22"/>
      <c r="B661" s="22"/>
      <c r="C661" s="22"/>
      <c r="D661" s="22"/>
      <c r="E661" s="22"/>
      <c r="H661" s="22"/>
      <c r="I661" s="22"/>
      <c r="J661" s="22"/>
      <c r="K661" s="22"/>
      <c r="N661" s="22"/>
      <c r="O661" s="22"/>
      <c r="P661" s="22"/>
      <c r="Q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H661" s="22"/>
      <c r="AI661" s="22"/>
      <c r="AJ661" s="22"/>
      <c r="AK661" s="22"/>
    </row>
    <row r="662" spans="1:37" ht="15.75" customHeight="1" x14ac:dyDescent="0.25">
      <c r="A662" s="22"/>
      <c r="B662" s="22"/>
      <c r="C662" s="22"/>
      <c r="D662" s="22"/>
      <c r="E662" s="22"/>
      <c r="H662" s="22"/>
      <c r="I662" s="22"/>
      <c r="J662" s="22"/>
      <c r="K662" s="22"/>
      <c r="N662" s="22"/>
      <c r="O662" s="22"/>
      <c r="P662" s="22"/>
      <c r="Q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H662" s="22"/>
      <c r="AI662" s="22"/>
      <c r="AJ662" s="22"/>
      <c r="AK662" s="22"/>
    </row>
    <row r="663" spans="1:37" ht="15.75" customHeight="1" x14ac:dyDescent="0.25">
      <c r="A663" s="22"/>
      <c r="B663" s="22"/>
      <c r="C663" s="22"/>
      <c r="D663" s="22"/>
      <c r="E663" s="22"/>
      <c r="H663" s="22"/>
      <c r="I663" s="22"/>
      <c r="J663" s="22"/>
      <c r="K663" s="22"/>
      <c r="N663" s="22"/>
      <c r="O663" s="22"/>
      <c r="P663" s="22"/>
      <c r="Q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H663" s="22"/>
      <c r="AI663" s="22"/>
      <c r="AJ663" s="22"/>
      <c r="AK663" s="22"/>
    </row>
    <row r="664" spans="1:37" ht="15.75" customHeight="1" x14ac:dyDescent="0.25">
      <c r="A664" s="22"/>
      <c r="B664" s="22"/>
      <c r="C664" s="22"/>
      <c r="D664" s="22"/>
      <c r="E664" s="22"/>
      <c r="H664" s="22"/>
      <c r="I664" s="22"/>
      <c r="J664" s="22"/>
      <c r="K664" s="22"/>
      <c r="N664" s="22"/>
      <c r="O664" s="22"/>
      <c r="P664" s="22"/>
      <c r="Q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H664" s="22"/>
      <c r="AI664" s="22"/>
      <c r="AJ664" s="22"/>
      <c r="AK664" s="22"/>
    </row>
    <row r="665" spans="1:37" ht="15.75" customHeight="1" x14ac:dyDescent="0.25">
      <c r="A665" s="22"/>
      <c r="B665" s="22"/>
      <c r="C665" s="22"/>
      <c r="D665" s="22"/>
      <c r="E665" s="22"/>
      <c r="H665" s="22"/>
      <c r="I665" s="22"/>
      <c r="J665" s="22"/>
      <c r="K665" s="22"/>
      <c r="N665" s="22"/>
      <c r="O665" s="22"/>
      <c r="P665" s="22"/>
      <c r="Q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H665" s="22"/>
      <c r="AI665" s="22"/>
      <c r="AJ665" s="22"/>
      <c r="AK665" s="22"/>
    </row>
    <row r="666" spans="1:37" ht="15.75" customHeight="1" x14ac:dyDescent="0.25">
      <c r="A666" s="22"/>
      <c r="B666" s="22"/>
      <c r="C666" s="22"/>
      <c r="D666" s="22"/>
      <c r="E666" s="22"/>
      <c r="H666" s="22"/>
      <c r="I666" s="22"/>
      <c r="J666" s="22"/>
      <c r="K666" s="22"/>
      <c r="N666" s="22"/>
      <c r="O666" s="22"/>
      <c r="P666" s="22"/>
      <c r="Q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H666" s="22"/>
      <c r="AI666" s="22"/>
      <c r="AJ666" s="22"/>
      <c r="AK666" s="22"/>
    </row>
    <row r="667" spans="1:37" ht="15.75" customHeight="1" x14ac:dyDescent="0.25">
      <c r="A667" s="22"/>
      <c r="B667" s="22"/>
      <c r="C667" s="22"/>
      <c r="D667" s="22"/>
      <c r="E667" s="22"/>
      <c r="H667" s="22"/>
      <c r="I667" s="22"/>
      <c r="J667" s="22"/>
      <c r="K667" s="22"/>
      <c r="N667" s="22"/>
      <c r="O667" s="22"/>
      <c r="P667" s="22"/>
      <c r="Q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H667" s="22"/>
      <c r="AI667" s="22"/>
      <c r="AJ667" s="22"/>
      <c r="AK667" s="22"/>
    </row>
    <row r="668" spans="1:37" ht="15.75" customHeight="1" x14ac:dyDescent="0.25">
      <c r="A668" s="22"/>
      <c r="B668" s="22"/>
      <c r="C668" s="22"/>
      <c r="D668" s="22"/>
      <c r="E668" s="22"/>
      <c r="H668" s="22"/>
      <c r="I668" s="22"/>
      <c r="J668" s="22"/>
      <c r="K668" s="22"/>
      <c r="N668" s="22"/>
      <c r="O668" s="22"/>
      <c r="P668" s="22"/>
      <c r="Q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H668" s="22"/>
      <c r="AI668" s="22"/>
      <c r="AJ668" s="22"/>
      <c r="AK668" s="22"/>
    </row>
    <row r="669" spans="1:37" ht="15.75" customHeight="1" x14ac:dyDescent="0.25">
      <c r="A669" s="22"/>
      <c r="B669" s="22"/>
      <c r="C669" s="22"/>
      <c r="D669" s="22"/>
      <c r="E669" s="22"/>
      <c r="H669" s="22"/>
      <c r="I669" s="22"/>
      <c r="J669" s="22"/>
      <c r="K669" s="22"/>
      <c r="N669" s="22"/>
      <c r="O669" s="22"/>
      <c r="P669" s="22"/>
      <c r="Q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H669" s="22"/>
      <c r="AI669" s="22"/>
      <c r="AJ669" s="22"/>
      <c r="AK669" s="22"/>
    </row>
    <row r="670" spans="1:37" ht="15.75" customHeight="1" x14ac:dyDescent="0.25">
      <c r="A670" s="22"/>
      <c r="B670" s="22"/>
      <c r="C670" s="22"/>
      <c r="D670" s="22"/>
      <c r="E670" s="22"/>
      <c r="H670" s="22"/>
      <c r="I670" s="22"/>
      <c r="J670" s="22"/>
      <c r="K670" s="22"/>
      <c r="N670" s="22"/>
      <c r="O670" s="22"/>
      <c r="P670" s="22"/>
      <c r="Q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H670" s="22"/>
      <c r="AI670" s="22"/>
      <c r="AJ670" s="22"/>
      <c r="AK670" s="22"/>
    </row>
    <row r="671" spans="1:37" ht="15.75" customHeight="1" x14ac:dyDescent="0.25">
      <c r="A671" s="22"/>
      <c r="B671" s="22"/>
      <c r="C671" s="22"/>
      <c r="D671" s="22"/>
      <c r="E671" s="22"/>
      <c r="H671" s="22"/>
      <c r="I671" s="22"/>
      <c r="J671" s="22"/>
      <c r="K671" s="22"/>
      <c r="N671" s="22"/>
      <c r="O671" s="22"/>
      <c r="P671" s="22"/>
      <c r="Q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H671" s="22"/>
      <c r="AI671" s="22"/>
      <c r="AJ671" s="22"/>
      <c r="AK671" s="22"/>
    </row>
    <row r="672" spans="1:37" ht="15.75" customHeight="1" x14ac:dyDescent="0.25">
      <c r="A672" s="22"/>
      <c r="B672" s="22"/>
      <c r="C672" s="22"/>
      <c r="D672" s="22"/>
      <c r="E672" s="22"/>
      <c r="H672" s="22"/>
      <c r="I672" s="22"/>
      <c r="J672" s="22"/>
      <c r="K672" s="22"/>
      <c r="N672" s="22"/>
      <c r="O672" s="22"/>
      <c r="P672" s="22"/>
      <c r="Q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H672" s="22"/>
      <c r="AI672" s="22"/>
      <c r="AJ672" s="22"/>
      <c r="AK672" s="22"/>
    </row>
    <row r="673" spans="1:37" ht="15.75" customHeight="1" x14ac:dyDescent="0.25">
      <c r="A673" s="22"/>
      <c r="B673" s="22"/>
      <c r="C673" s="22"/>
      <c r="D673" s="22"/>
      <c r="E673" s="22"/>
      <c r="H673" s="22"/>
      <c r="I673" s="22"/>
      <c r="J673" s="22"/>
      <c r="K673" s="22"/>
      <c r="N673" s="22"/>
      <c r="O673" s="22"/>
      <c r="P673" s="22"/>
      <c r="Q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H673" s="22"/>
      <c r="AI673" s="22"/>
      <c r="AJ673" s="22"/>
      <c r="AK673" s="22"/>
    </row>
    <row r="674" spans="1:37" ht="15.75" customHeight="1" x14ac:dyDescent="0.25">
      <c r="A674" s="22"/>
      <c r="B674" s="22"/>
      <c r="C674" s="22"/>
      <c r="D674" s="22"/>
      <c r="E674" s="22"/>
      <c r="H674" s="22"/>
      <c r="I674" s="22"/>
      <c r="J674" s="22"/>
      <c r="K674" s="22"/>
      <c r="N674" s="22"/>
      <c r="O674" s="22"/>
      <c r="P674" s="22"/>
      <c r="Q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H674" s="22"/>
      <c r="AI674" s="22"/>
      <c r="AJ674" s="22"/>
      <c r="AK674" s="22"/>
    </row>
    <row r="675" spans="1:37" ht="15.75" customHeight="1" x14ac:dyDescent="0.25">
      <c r="A675" s="22"/>
      <c r="B675" s="22"/>
      <c r="C675" s="22"/>
      <c r="D675" s="22"/>
      <c r="E675" s="22"/>
      <c r="H675" s="22"/>
      <c r="I675" s="22"/>
      <c r="J675" s="22"/>
      <c r="K675" s="22"/>
      <c r="N675" s="22"/>
      <c r="O675" s="22"/>
      <c r="P675" s="22"/>
      <c r="Q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H675" s="22"/>
      <c r="AI675" s="22"/>
      <c r="AJ675" s="22"/>
      <c r="AK675" s="22"/>
    </row>
    <row r="676" spans="1:37" ht="15.75" customHeight="1" x14ac:dyDescent="0.25">
      <c r="A676" s="22"/>
      <c r="B676" s="22"/>
      <c r="C676" s="22"/>
      <c r="D676" s="22"/>
      <c r="E676" s="22"/>
      <c r="H676" s="22"/>
      <c r="I676" s="22"/>
      <c r="J676" s="22"/>
      <c r="K676" s="22"/>
      <c r="N676" s="22"/>
      <c r="O676" s="22"/>
      <c r="P676" s="22"/>
      <c r="Q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H676" s="22"/>
      <c r="AI676" s="22"/>
      <c r="AJ676" s="22"/>
      <c r="AK676" s="22"/>
    </row>
    <row r="677" spans="1:37" ht="15.75" customHeight="1" x14ac:dyDescent="0.25">
      <c r="A677" s="22"/>
      <c r="B677" s="22"/>
      <c r="C677" s="22"/>
      <c r="D677" s="22"/>
      <c r="E677" s="22"/>
      <c r="H677" s="22"/>
      <c r="I677" s="22"/>
      <c r="J677" s="22"/>
      <c r="K677" s="22"/>
      <c r="N677" s="22"/>
      <c r="O677" s="22"/>
      <c r="P677" s="22"/>
      <c r="Q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H677" s="22"/>
      <c r="AI677" s="22"/>
      <c r="AJ677" s="22"/>
      <c r="AK677" s="22"/>
    </row>
    <row r="678" spans="1:37" ht="15.75" customHeight="1" x14ac:dyDescent="0.25">
      <c r="A678" s="22"/>
      <c r="B678" s="22"/>
      <c r="C678" s="22"/>
      <c r="D678" s="22"/>
      <c r="E678" s="22"/>
      <c r="H678" s="22"/>
      <c r="I678" s="22"/>
      <c r="J678" s="22"/>
      <c r="K678" s="22"/>
      <c r="N678" s="22"/>
      <c r="O678" s="22"/>
      <c r="P678" s="22"/>
      <c r="Q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H678" s="22"/>
      <c r="AI678" s="22"/>
      <c r="AJ678" s="22"/>
      <c r="AK678" s="22"/>
    </row>
    <row r="679" spans="1:37" ht="15.75" customHeight="1" x14ac:dyDescent="0.25">
      <c r="A679" s="22"/>
      <c r="B679" s="22"/>
      <c r="C679" s="22"/>
      <c r="D679" s="22"/>
      <c r="E679" s="22"/>
      <c r="H679" s="22"/>
      <c r="I679" s="22"/>
      <c r="J679" s="22"/>
      <c r="K679" s="22"/>
      <c r="N679" s="22"/>
      <c r="O679" s="22"/>
      <c r="P679" s="22"/>
      <c r="Q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H679" s="22"/>
      <c r="AI679" s="22"/>
      <c r="AJ679" s="22"/>
      <c r="AK679" s="22"/>
    </row>
    <row r="680" spans="1:37" ht="15.75" customHeight="1" x14ac:dyDescent="0.25">
      <c r="A680" s="22"/>
      <c r="B680" s="22"/>
      <c r="C680" s="22"/>
      <c r="D680" s="22"/>
      <c r="E680" s="22"/>
      <c r="H680" s="22"/>
      <c r="I680" s="22"/>
      <c r="J680" s="22"/>
      <c r="K680" s="22"/>
      <c r="N680" s="22"/>
      <c r="O680" s="22"/>
      <c r="P680" s="22"/>
      <c r="Q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H680" s="22"/>
      <c r="AI680" s="22"/>
      <c r="AJ680" s="22"/>
      <c r="AK680" s="22"/>
    </row>
    <row r="681" spans="1:37" ht="15.75" customHeight="1" x14ac:dyDescent="0.25">
      <c r="A681" s="22"/>
      <c r="B681" s="22"/>
      <c r="C681" s="22"/>
      <c r="D681" s="22"/>
      <c r="E681" s="22"/>
      <c r="H681" s="22"/>
      <c r="I681" s="22"/>
      <c r="J681" s="22"/>
      <c r="K681" s="22"/>
      <c r="N681" s="22"/>
      <c r="O681" s="22"/>
      <c r="P681" s="22"/>
      <c r="Q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H681" s="22"/>
      <c r="AI681" s="22"/>
      <c r="AJ681" s="22"/>
      <c r="AK681" s="22"/>
    </row>
    <row r="682" spans="1:37" ht="15.75" customHeight="1" x14ac:dyDescent="0.25">
      <c r="A682" s="22"/>
      <c r="B682" s="22"/>
      <c r="C682" s="22"/>
      <c r="D682" s="22"/>
      <c r="E682" s="22"/>
      <c r="H682" s="22"/>
      <c r="I682" s="22"/>
      <c r="J682" s="22"/>
      <c r="K682" s="22"/>
      <c r="N682" s="22"/>
      <c r="O682" s="22"/>
      <c r="P682" s="22"/>
      <c r="Q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H682" s="22"/>
      <c r="AI682" s="22"/>
      <c r="AJ682" s="22"/>
      <c r="AK682" s="22"/>
    </row>
    <row r="683" spans="1:37" ht="15.75" customHeight="1" x14ac:dyDescent="0.25">
      <c r="A683" s="22"/>
      <c r="B683" s="22"/>
      <c r="C683" s="22"/>
      <c r="D683" s="22"/>
      <c r="E683" s="22"/>
      <c r="H683" s="22"/>
      <c r="I683" s="22"/>
      <c r="J683" s="22"/>
      <c r="K683" s="22"/>
      <c r="N683" s="22"/>
      <c r="O683" s="22"/>
      <c r="P683" s="22"/>
      <c r="Q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H683" s="22"/>
      <c r="AI683" s="22"/>
      <c r="AJ683" s="22"/>
      <c r="AK683" s="22"/>
    </row>
    <row r="684" spans="1:37" ht="15.75" customHeight="1" x14ac:dyDescent="0.25">
      <c r="A684" s="22"/>
      <c r="B684" s="22"/>
      <c r="C684" s="22"/>
      <c r="D684" s="22"/>
      <c r="E684" s="22"/>
      <c r="H684" s="22"/>
      <c r="I684" s="22"/>
      <c r="J684" s="22"/>
      <c r="K684" s="22"/>
      <c r="N684" s="22"/>
      <c r="O684" s="22"/>
      <c r="P684" s="22"/>
      <c r="Q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H684" s="22"/>
      <c r="AI684" s="22"/>
      <c r="AJ684" s="22"/>
      <c r="AK684" s="22"/>
    </row>
    <row r="685" spans="1:37" ht="15.75" customHeight="1" x14ac:dyDescent="0.25">
      <c r="A685" s="22"/>
      <c r="B685" s="22"/>
      <c r="C685" s="22"/>
      <c r="D685" s="22"/>
      <c r="E685" s="22"/>
      <c r="H685" s="22"/>
      <c r="I685" s="22"/>
      <c r="J685" s="22"/>
      <c r="K685" s="22"/>
      <c r="N685" s="22"/>
      <c r="O685" s="22"/>
      <c r="P685" s="22"/>
      <c r="Q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H685" s="22"/>
      <c r="AI685" s="22"/>
      <c r="AJ685" s="22"/>
      <c r="AK685" s="22"/>
    </row>
    <row r="686" spans="1:37" ht="15.75" customHeight="1" x14ac:dyDescent="0.25">
      <c r="A686" s="22"/>
      <c r="B686" s="22"/>
      <c r="C686" s="22"/>
      <c r="D686" s="22"/>
      <c r="E686" s="22"/>
      <c r="H686" s="22"/>
      <c r="I686" s="22"/>
      <c r="J686" s="22"/>
      <c r="K686" s="22"/>
      <c r="N686" s="22"/>
      <c r="O686" s="22"/>
      <c r="P686" s="22"/>
      <c r="Q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H686" s="22"/>
      <c r="AI686" s="22"/>
      <c r="AJ686" s="22"/>
      <c r="AK686" s="22"/>
    </row>
    <row r="687" spans="1:37" ht="15.75" customHeight="1" x14ac:dyDescent="0.25">
      <c r="A687" s="22"/>
      <c r="B687" s="22"/>
      <c r="C687" s="22"/>
      <c r="D687" s="22"/>
      <c r="E687" s="22"/>
      <c r="H687" s="22"/>
      <c r="I687" s="22"/>
      <c r="J687" s="22"/>
      <c r="K687" s="22"/>
      <c r="N687" s="22"/>
      <c r="O687" s="22"/>
      <c r="P687" s="22"/>
      <c r="Q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H687" s="22"/>
      <c r="AI687" s="22"/>
      <c r="AJ687" s="22"/>
      <c r="AK687" s="22"/>
    </row>
    <row r="688" spans="1:37" ht="15.75" customHeight="1" x14ac:dyDescent="0.25">
      <c r="A688" s="22"/>
      <c r="B688" s="22"/>
      <c r="C688" s="22"/>
      <c r="D688" s="22"/>
      <c r="E688" s="22"/>
      <c r="H688" s="22"/>
      <c r="I688" s="22"/>
      <c r="J688" s="22"/>
      <c r="K688" s="22"/>
      <c r="N688" s="22"/>
      <c r="O688" s="22"/>
      <c r="P688" s="22"/>
      <c r="Q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H688" s="22"/>
      <c r="AI688" s="22"/>
      <c r="AJ688" s="22"/>
      <c r="AK688" s="22"/>
    </row>
    <row r="689" spans="1:37" ht="15.75" customHeight="1" x14ac:dyDescent="0.25">
      <c r="A689" s="22"/>
      <c r="B689" s="22"/>
      <c r="C689" s="22"/>
      <c r="D689" s="22"/>
      <c r="E689" s="22"/>
      <c r="H689" s="22"/>
      <c r="I689" s="22"/>
      <c r="J689" s="22"/>
      <c r="K689" s="22"/>
      <c r="N689" s="22"/>
      <c r="O689" s="22"/>
      <c r="P689" s="22"/>
      <c r="Q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H689" s="22"/>
      <c r="AI689" s="22"/>
      <c r="AJ689" s="22"/>
      <c r="AK689" s="22"/>
    </row>
    <row r="690" spans="1:37" ht="15.75" customHeight="1" x14ac:dyDescent="0.25">
      <c r="A690" s="22"/>
      <c r="B690" s="22"/>
      <c r="C690" s="22"/>
      <c r="D690" s="22"/>
      <c r="E690" s="22"/>
      <c r="H690" s="22"/>
      <c r="I690" s="22"/>
      <c r="J690" s="22"/>
      <c r="K690" s="22"/>
      <c r="N690" s="22"/>
      <c r="O690" s="22"/>
      <c r="P690" s="22"/>
      <c r="Q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H690" s="22"/>
      <c r="AI690" s="22"/>
      <c r="AJ690" s="22"/>
      <c r="AK690" s="22"/>
    </row>
    <row r="691" spans="1:37" ht="15.75" customHeight="1" x14ac:dyDescent="0.25">
      <c r="A691" s="22"/>
      <c r="B691" s="22"/>
      <c r="C691" s="22"/>
      <c r="D691" s="22"/>
      <c r="E691" s="22"/>
      <c r="H691" s="22"/>
      <c r="I691" s="22"/>
      <c r="J691" s="22"/>
      <c r="K691" s="22"/>
      <c r="N691" s="22"/>
      <c r="O691" s="22"/>
      <c r="P691" s="22"/>
      <c r="Q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H691" s="22"/>
      <c r="AI691" s="22"/>
      <c r="AJ691" s="22"/>
      <c r="AK691" s="22"/>
    </row>
    <row r="692" spans="1:37" ht="15.75" customHeight="1" x14ac:dyDescent="0.25">
      <c r="A692" s="22"/>
      <c r="B692" s="22"/>
      <c r="C692" s="22"/>
      <c r="D692" s="22"/>
      <c r="E692" s="22"/>
      <c r="H692" s="22"/>
      <c r="I692" s="22"/>
      <c r="J692" s="22"/>
      <c r="K692" s="22"/>
      <c r="N692" s="22"/>
      <c r="O692" s="22"/>
      <c r="P692" s="22"/>
      <c r="Q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H692" s="22"/>
      <c r="AI692" s="22"/>
      <c r="AJ692" s="22"/>
      <c r="AK692" s="22"/>
    </row>
    <row r="693" spans="1:37" ht="15.75" customHeight="1" x14ac:dyDescent="0.25">
      <c r="A693" s="22"/>
      <c r="B693" s="22"/>
      <c r="C693" s="22"/>
      <c r="D693" s="22"/>
      <c r="E693" s="22"/>
      <c r="H693" s="22"/>
      <c r="I693" s="22"/>
      <c r="J693" s="22"/>
      <c r="K693" s="22"/>
      <c r="N693" s="22"/>
      <c r="O693" s="22"/>
      <c r="P693" s="22"/>
      <c r="Q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H693" s="22"/>
      <c r="AI693" s="22"/>
      <c r="AJ693" s="22"/>
      <c r="AK693" s="22"/>
    </row>
    <row r="694" spans="1:37" ht="15.75" customHeight="1" x14ac:dyDescent="0.25">
      <c r="A694" s="22"/>
      <c r="B694" s="22"/>
      <c r="C694" s="22"/>
      <c r="D694" s="22"/>
      <c r="E694" s="22"/>
      <c r="H694" s="22"/>
      <c r="I694" s="22"/>
      <c r="J694" s="22"/>
      <c r="K694" s="22"/>
      <c r="N694" s="22"/>
      <c r="O694" s="22"/>
      <c r="P694" s="22"/>
      <c r="Q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H694" s="22"/>
      <c r="AI694" s="22"/>
      <c r="AJ694" s="22"/>
      <c r="AK694" s="22"/>
    </row>
    <row r="695" spans="1:37" ht="15.75" customHeight="1" x14ac:dyDescent="0.25">
      <c r="A695" s="22"/>
      <c r="B695" s="22"/>
      <c r="C695" s="22"/>
      <c r="D695" s="22"/>
      <c r="E695" s="22"/>
      <c r="H695" s="22"/>
      <c r="I695" s="22"/>
      <c r="J695" s="22"/>
      <c r="K695" s="22"/>
      <c r="N695" s="22"/>
      <c r="O695" s="22"/>
      <c r="P695" s="22"/>
      <c r="Q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H695" s="22"/>
      <c r="AI695" s="22"/>
      <c r="AJ695" s="22"/>
      <c r="AK695" s="22"/>
    </row>
    <row r="696" spans="1:37" ht="15.75" customHeight="1" x14ac:dyDescent="0.25">
      <c r="A696" s="22"/>
      <c r="B696" s="22"/>
      <c r="C696" s="22"/>
      <c r="D696" s="22"/>
      <c r="E696" s="22"/>
      <c r="H696" s="22"/>
      <c r="I696" s="22"/>
      <c r="J696" s="22"/>
      <c r="K696" s="22"/>
      <c r="N696" s="22"/>
      <c r="O696" s="22"/>
      <c r="P696" s="22"/>
      <c r="Q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H696" s="22"/>
      <c r="AI696" s="22"/>
      <c r="AJ696" s="22"/>
      <c r="AK696" s="22"/>
    </row>
    <row r="697" spans="1:37" ht="15.75" customHeight="1" x14ac:dyDescent="0.25">
      <c r="A697" s="22"/>
      <c r="B697" s="22"/>
      <c r="C697" s="22"/>
      <c r="D697" s="22"/>
      <c r="E697" s="22"/>
      <c r="H697" s="22"/>
      <c r="I697" s="22"/>
      <c r="J697" s="22"/>
      <c r="K697" s="22"/>
      <c r="N697" s="22"/>
      <c r="O697" s="22"/>
      <c r="P697" s="22"/>
      <c r="Q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H697" s="22"/>
      <c r="AI697" s="22"/>
      <c r="AJ697" s="22"/>
      <c r="AK697" s="22"/>
    </row>
    <row r="698" spans="1:37" ht="15.75" customHeight="1" x14ac:dyDescent="0.25">
      <c r="A698" s="22"/>
      <c r="B698" s="22"/>
      <c r="C698" s="22"/>
      <c r="D698" s="22"/>
      <c r="E698" s="22"/>
      <c r="H698" s="22"/>
      <c r="I698" s="22"/>
      <c r="J698" s="22"/>
      <c r="K698" s="22"/>
      <c r="N698" s="22"/>
      <c r="O698" s="22"/>
      <c r="P698" s="22"/>
      <c r="Q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H698" s="22"/>
      <c r="AI698" s="22"/>
      <c r="AJ698" s="22"/>
      <c r="AK698" s="22"/>
    </row>
    <row r="699" spans="1:37" ht="15.75" customHeight="1" x14ac:dyDescent="0.25">
      <c r="A699" s="22"/>
      <c r="B699" s="22"/>
      <c r="C699" s="22"/>
      <c r="D699" s="22"/>
      <c r="E699" s="22"/>
      <c r="H699" s="22"/>
      <c r="I699" s="22"/>
      <c r="J699" s="22"/>
      <c r="K699" s="22"/>
      <c r="N699" s="22"/>
      <c r="O699" s="22"/>
      <c r="P699" s="22"/>
      <c r="Q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H699" s="22"/>
      <c r="AI699" s="22"/>
      <c r="AJ699" s="22"/>
      <c r="AK699" s="22"/>
    </row>
    <row r="700" spans="1:37" ht="15.75" customHeight="1" x14ac:dyDescent="0.25">
      <c r="A700" s="22"/>
      <c r="B700" s="22"/>
      <c r="C700" s="22"/>
      <c r="D700" s="22"/>
      <c r="E700" s="22"/>
      <c r="H700" s="22"/>
      <c r="I700" s="22"/>
      <c r="J700" s="22"/>
      <c r="K700" s="22"/>
      <c r="N700" s="22"/>
      <c r="O700" s="22"/>
      <c r="P700" s="22"/>
      <c r="Q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H700" s="22"/>
      <c r="AI700" s="22"/>
      <c r="AJ700" s="22"/>
      <c r="AK700" s="22"/>
    </row>
    <row r="701" spans="1:37" ht="15.75" customHeight="1" x14ac:dyDescent="0.25">
      <c r="A701" s="22"/>
      <c r="B701" s="22"/>
      <c r="C701" s="22"/>
      <c r="D701" s="22"/>
      <c r="E701" s="22"/>
      <c r="H701" s="22"/>
      <c r="I701" s="22"/>
      <c r="J701" s="22"/>
      <c r="K701" s="22"/>
      <c r="N701" s="22"/>
      <c r="O701" s="22"/>
      <c r="P701" s="22"/>
      <c r="Q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H701" s="22"/>
      <c r="AI701" s="22"/>
      <c r="AJ701" s="22"/>
      <c r="AK701" s="22"/>
    </row>
    <row r="702" spans="1:37" ht="15.75" customHeight="1" x14ac:dyDescent="0.25">
      <c r="A702" s="22"/>
      <c r="B702" s="22"/>
      <c r="C702" s="22"/>
      <c r="D702" s="22"/>
      <c r="E702" s="22"/>
      <c r="H702" s="22"/>
      <c r="I702" s="22"/>
      <c r="J702" s="22"/>
      <c r="K702" s="22"/>
      <c r="N702" s="22"/>
      <c r="O702" s="22"/>
      <c r="P702" s="22"/>
      <c r="Q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H702" s="22"/>
      <c r="AI702" s="22"/>
      <c r="AJ702" s="22"/>
      <c r="AK702" s="22"/>
    </row>
    <row r="703" spans="1:37" ht="15.75" customHeight="1" x14ac:dyDescent="0.25">
      <c r="A703" s="22"/>
      <c r="B703" s="22"/>
      <c r="C703" s="22"/>
      <c r="D703" s="22"/>
      <c r="E703" s="22"/>
      <c r="H703" s="22"/>
      <c r="I703" s="22"/>
      <c r="J703" s="22"/>
      <c r="K703" s="22"/>
      <c r="N703" s="22"/>
      <c r="O703" s="22"/>
      <c r="P703" s="22"/>
      <c r="Q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H703" s="22"/>
      <c r="AI703" s="22"/>
      <c r="AJ703" s="22"/>
      <c r="AK703" s="22"/>
    </row>
    <row r="704" spans="1:37" ht="15.75" customHeight="1" x14ac:dyDescent="0.25">
      <c r="A704" s="22"/>
      <c r="B704" s="22"/>
      <c r="C704" s="22"/>
      <c r="D704" s="22"/>
      <c r="E704" s="22"/>
      <c r="H704" s="22"/>
      <c r="I704" s="22"/>
      <c r="J704" s="22"/>
      <c r="K704" s="22"/>
      <c r="N704" s="22"/>
      <c r="O704" s="22"/>
      <c r="P704" s="22"/>
      <c r="Q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H704" s="22"/>
      <c r="AI704" s="22"/>
      <c r="AJ704" s="22"/>
      <c r="AK704" s="22"/>
    </row>
    <row r="705" spans="1:37" ht="15.75" customHeight="1" x14ac:dyDescent="0.25">
      <c r="A705" s="22"/>
      <c r="B705" s="22"/>
      <c r="C705" s="22"/>
      <c r="D705" s="22"/>
      <c r="E705" s="22"/>
      <c r="H705" s="22"/>
      <c r="I705" s="22"/>
      <c r="J705" s="22"/>
      <c r="K705" s="22"/>
      <c r="N705" s="22"/>
      <c r="O705" s="22"/>
      <c r="P705" s="22"/>
      <c r="Q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H705" s="22"/>
      <c r="AI705" s="22"/>
      <c r="AJ705" s="22"/>
      <c r="AK705" s="22"/>
    </row>
    <row r="706" spans="1:37" ht="15.75" customHeight="1" x14ac:dyDescent="0.25">
      <c r="A706" s="22"/>
      <c r="B706" s="22"/>
      <c r="C706" s="22"/>
      <c r="D706" s="22"/>
      <c r="E706" s="22"/>
      <c r="H706" s="22"/>
      <c r="I706" s="22"/>
      <c r="J706" s="22"/>
      <c r="K706" s="22"/>
      <c r="N706" s="22"/>
      <c r="O706" s="22"/>
      <c r="P706" s="22"/>
      <c r="Q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H706" s="22"/>
      <c r="AI706" s="22"/>
      <c r="AJ706" s="22"/>
      <c r="AK706" s="22"/>
    </row>
    <row r="707" spans="1:37" ht="15.75" customHeight="1" x14ac:dyDescent="0.25">
      <c r="A707" s="22"/>
      <c r="B707" s="22"/>
      <c r="C707" s="22"/>
      <c r="D707" s="22"/>
      <c r="E707" s="22"/>
      <c r="H707" s="22"/>
      <c r="I707" s="22"/>
      <c r="J707" s="22"/>
      <c r="K707" s="22"/>
      <c r="N707" s="22"/>
      <c r="O707" s="22"/>
      <c r="P707" s="22"/>
      <c r="Q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H707" s="22"/>
      <c r="AI707" s="22"/>
      <c r="AJ707" s="22"/>
      <c r="AK707" s="22"/>
    </row>
    <row r="708" spans="1:37" ht="15.75" customHeight="1" x14ac:dyDescent="0.25">
      <c r="A708" s="22"/>
      <c r="B708" s="22"/>
      <c r="C708" s="22"/>
      <c r="D708" s="22"/>
      <c r="E708" s="22"/>
      <c r="H708" s="22"/>
      <c r="I708" s="22"/>
      <c r="J708" s="22"/>
      <c r="K708" s="22"/>
      <c r="N708" s="22"/>
      <c r="O708" s="22"/>
      <c r="P708" s="22"/>
      <c r="Q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H708" s="22"/>
      <c r="AI708" s="22"/>
      <c r="AJ708" s="22"/>
      <c r="AK708" s="22"/>
    </row>
    <row r="709" spans="1:37" ht="15.75" customHeight="1" x14ac:dyDescent="0.25">
      <c r="A709" s="22"/>
      <c r="B709" s="22"/>
      <c r="C709" s="22"/>
      <c r="D709" s="22"/>
      <c r="E709" s="22"/>
      <c r="H709" s="22"/>
      <c r="I709" s="22"/>
      <c r="J709" s="22"/>
      <c r="K709" s="22"/>
      <c r="N709" s="22"/>
      <c r="O709" s="22"/>
      <c r="P709" s="22"/>
      <c r="Q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H709" s="22"/>
      <c r="AI709" s="22"/>
      <c r="AJ709" s="22"/>
      <c r="AK709" s="22"/>
    </row>
    <row r="710" spans="1:37" ht="15.75" customHeight="1" x14ac:dyDescent="0.25">
      <c r="A710" s="22"/>
      <c r="B710" s="22"/>
      <c r="C710" s="22"/>
      <c r="D710" s="22"/>
      <c r="E710" s="22"/>
      <c r="H710" s="22"/>
      <c r="I710" s="22"/>
      <c r="J710" s="22"/>
      <c r="K710" s="22"/>
      <c r="N710" s="22"/>
      <c r="O710" s="22"/>
      <c r="P710" s="22"/>
      <c r="Q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H710" s="22"/>
      <c r="AI710" s="22"/>
      <c r="AJ710" s="22"/>
      <c r="AK710" s="22"/>
    </row>
    <row r="711" spans="1:37" ht="15.75" customHeight="1" x14ac:dyDescent="0.25">
      <c r="A711" s="22"/>
      <c r="B711" s="22"/>
      <c r="C711" s="22"/>
      <c r="D711" s="22"/>
      <c r="E711" s="22"/>
      <c r="H711" s="22"/>
      <c r="I711" s="22"/>
      <c r="J711" s="22"/>
      <c r="K711" s="22"/>
      <c r="N711" s="22"/>
      <c r="O711" s="22"/>
      <c r="P711" s="22"/>
      <c r="Q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H711" s="22"/>
      <c r="AI711" s="22"/>
      <c r="AJ711" s="22"/>
      <c r="AK711" s="22"/>
    </row>
    <row r="712" spans="1:37" ht="15.75" customHeight="1" x14ac:dyDescent="0.25">
      <c r="A712" s="22"/>
      <c r="B712" s="22"/>
      <c r="C712" s="22"/>
      <c r="D712" s="22"/>
      <c r="E712" s="22"/>
      <c r="H712" s="22"/>
      <c r="I712" s="22"/>
      <c r="J712" s="22"/>
      <c r="K712" s="22"/>
      <c r="N712" s="22"/>
      <c r="O712" s="22"/>
      <c r="P712" s="22"/>
      <c r="Q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H712" s="22"/>
      <c r="AI712" s="22"/>
      <c r="AJ712" s="22"/>
      <c r="AK712" s="22"/>
    </row>
    <row r="713" spans="1:37" ht="15.75" customHeight="1" x14ac:dyDescent="0.25">
      <c r="A713" s="22"/>
      <c r="B713" s="22"/>
      <c r="C713" s="22"/>
      <c r="D713" s="22"/>
      <c r="E713" s="22"/>
      <c r="H713" s="22"/>
      <c r="I713" s="22"/>
      <c r="J713" s="22"/>
      <c r="K713" s="22"/>
      <c r="N713" s="22"/>
      <c r="O713" s="22"/>
      <c r="P713" s="22"/>
      <c r="Q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H713" s="22"/>
      <c r="AI713" s="22"/>
      <c r="AJ713" s="22"/>
      <c r="AK713" s="22"/>
    </row>
    <row r="714" spans="1:37" ht="15.75" customHeight="1" x14ac:dyDescent="0.25">
      <c r="A714" s="22"/>
      <c r="B714" s="22"/>
      <c r="C714" s="22"/>
      <c r="D714" s="22"/>
      <c r="E714" s="22"/>
      <c r="H714" s="22"/>
      <c r="I714" s="22"/>
      <c r="J714" s="22"/>
      <c r="K714" s="22"/>
      <c r="N714" s="22"/>
      <c r="O714" s="22"/>
      <c r="P714" s="22"/>
      <c r="Q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H714" s="22"/>
      <c r="AI714" s="22"/>
      <c r="AJ714" s="22"/>
      <c r="AK714" s="22"/>
    </row>
    <row r="715" spans="1:37" ht="15.75" customHeight="1" x14ac:dyDescent="0.25">
      <c r="A715" s="22"/>
      <c r="B715" s="22"/>
      <c r="C715" s="22"/>
      <c r="D715" s="22"/>
      <c r="E715" s="22"/>
      <c r="H715" s="22"/>
      <c r="I715" s="22"/>
      <c r="J715" s="22"/>
      <c r="K715" s="22"/>
      <c r="N715" s="22"/>
      <c r="O715" s="22"/>
      <c r="P715" s="22"/>
      <c r="Q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H715" s="22"/>
      <c r="AI715" s="22"/>
      <c r="AJ715" s="22"/>
      <c r="AK715" s="22"/>
    </row>
    <row r="716" spans="1:37" ht="15.75" customHeight="1" x14ac:dyDescent="0.25">
      <c r="A716" s="22"/>
      <c r="B716" s="22"/>
      <c r="C716" s="22"/>
      <c r="D716" s="22"/>
      <c r="E716" s="22"/>
      <c r="H716" s="22"/>
      <c r="I716" s="22"/>
      <c r="J716" s="22"/>
      <c r="K716" s="22"/>
      <c r="N716" s="22"/>
      <c r="O716" s="22"/>
      <c r="P716" s="22"/>
      <c r="Q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H716" s="22"/>
      <c r="AI716" s="22"/>
      <c r="AJ716" s="22"/>
      <c r="AK716" s="22"/>
    </row>
    <row r="717" spans="1:37" ht="15.75" customHeight="1" x14ac:dyDescent="0.25">
      <c r="A717" s="22"/>
      <c r="B717" s="22"/>
      <c r="C717" s="22"/>
      <c r="D717" s="22"/>
      <c r="E717" s="22"/>
      <c r="H717" s="22"/>
      <c r="I717" s="22"/>
      <c r="J717" s="22"/>
      <c r="K717" s="22"/>
      <c r="N717" s="22"/>
      <c r="O717" s="22"/>
      <c r="P717" s="22"/>
      <c r="Q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H717" s="22"/>
      <c r="AI717" s="22"/>
      <c r="AJ717" s="22"/>
      <c r="AK717" s="22"/>
    </row>
    <row r="718" spans="1:37" ht="15.75" customHeight="1" x14ac:dyDescent="0.25">
      <c r="A718" s="22"/>
      <c r="B718" s="22"/>
      <c r="C718" s="22"/>
      <c r="D718" s="22"/>
      <c r="E718" s="22"/>
      <c r="H718" s="22"/>
      <c r="I718" s="22"/>
      <c r="J718" s="22"/>
      <c r="K718" s="22"/>
      <c r="N718" s="22"/>
      <c r="O718" s="22"/>
      <c r="P718" s="22"/>
      <c r="Q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H718" s="22"/>
      <c r="AI718" s="22"/>
      <c r="AJ718" s="22"/>
      <c r="AK718" s="22"/>
    </row>
    <row r="719" spans="1:37" ht="15.75" customHeight="1" x14ac:dyDescent="0.25">
      <c r="A719" s="22"/>
      <c r="B719" s="22"/>
      <c r="C719" s="22"/>
      <c r="D719" s="22"/>
      <c r="E719" s="22"/>
      <c r="H719" s="22"/>
      <c r="I719" s="22"/>
      <c r="J719" s="22"/>
      <c r="K719" s="22"/>
      <c r="N719" s="22"/>
      <c r="O719" s="22"/>
      <c r="P719" s="22"/>
      <c r="Q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H719" s="22"/>
      <c r="AI719" s="22"/>
      <c r="AJ719" s="22"/>
      <c r="AK719" s="22"/>
    </row>
    <row r="720" spans="1:37" ht="15.75" customHeight="1" x14ac:dyDescent="0.25">
      <c r="A720" s="22"/>
      <c r="B720" s="22"/>
      <c r="C720" s="22"/>
      <c r="D720" s="22"/>
      <c r="E720" s="22"/>
      <c r="H720" s="22"/>
      <c r="I720" s="22"/>
      <c r="J720" s="22"/>
      <c r="K720" s="22"/>
      <c r="N720" s="22"/>
      <c r="O720" s="22"/>
      <c r="P720" s="22"/>
      <c r="Q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H720" s="22"/>
      <c r="AI720" s="22"/>
      <c r="AJ720" s="22"/>
      <c r="AK720" s="22"/>
    </row>
    <row r="721" spans="1:37" ht="15.75" customHeight="1" x14ac:dyDescent="0.25">
      <c r="A721" s="22"/>
      <c r="B721" s="22"/>
      <c r="C721" s="22"/>
      <c r="D721" s="22"/>
      <c r="E721" s="22"/>
      <c r="H721" s="22"/>
      <c r="I721" s="22"/>
      <c r="J721" s="22"/>
      <c r="K721" s="22"/>
      <c r="N721" s="22"/>
      <c r="O721" s="22"/>
      <c r="P721" s="22"/>
      <c r="Q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H721" s="22"/>
      <c r="AI721" s="22"/>
      <c r="AJ721" s="22"/>
      <c r="AK721" s="22"/>
    </row>
    <row r="722" spans="1:37" ht="15.75" customHeight="1" x14ac:dyDescent="0.25">
      <c r="A722" s="22"/>
      <c r="B722" s="22"/>
      <c r="C722" s="22"/>
      <c r="D722" s="22"/>
      <c r="E722" s="22"/>
      <c r="H722" s="22"/>
      <c r="I722" s="22"/>
      <c r="J722" s="22"/>
      <c r="K722" s="22"/>
      <c r="N722" s="22"/>
      <c r="O722" s="22"/>
      <c r="P722" s="22"/>
      <c r="Q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H722" s="22"/>
      <c r="AI722" s="22"/>
      <c r="AJ722" s="22"/>
      <c r="AK722" s="22"/>
    </row>
    <row r="723" spans="1:37" ht="15.75" customHeight="1" x14ac:dyDescent="0.25">
      <c r="A723" s="22"/>
      <c r="B723" s="22"/>
      <c r="C723" s="22"/>
      <c r="D723" s="22"/>
      <c r="E723" s="22"/>
      <c r="H723" s="22"/>
      <c r="I723" s="22"/>
      <c r="J723" s="22"/>
      <c r="K723" s="22"/>
      <c r="N723" s="22"/>
      <c r="O723" s="22"/>
      <c r="P723" s="22"/>
      <c r="Q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H723" s="22"/>
      <c r="AI723" s="22"/>
      <c r="AJ723" s="22"/>
      <c r="AK723" s="22"/>
    </row>
    <row r="724" spans="1:37" ht="15.75" customHeight="1" x14ac:dyDescent="0.25">
      <c r="A724" s="22"/>
      <c r="B724" s="22"/>
      <c r="C724" s="22"/>
      <c r="D724" s="22"/>
      <c r="E724" s="22"/>
      <c r="H724" s="22"/>
      <c r="I724" s="22"/>
      <c r="J724" s="22"/>
      <c r="K724" s="22"/>
      <c r="N724" s="22"/>
      <c r="O724" s="22"/>
      <c r="P724" s="22"/>
      <c r="Q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H724" s="22"/>
      <c r="AI724" s="22"/>
      <c r="AJ724" s="22"/>
      <c r="AK724" s="22"/>
    </row>
    <row r="725" spans="1:37" ht="15.75" customHeight="1" x14ac:dyDescent="0.25">
      <c r="A725" s="22"/>
      <c r="B725" s="22"/>
      <c r="C725" s="22"/>
      <c r="D725" s="22"/>
      <c r="E725" s="22"/>
      <c r="H725" s="22"/>
      <c r="I725" s="22"/>
      <c r="J725" s="22"/>
      <c r="K725" s="22"/>
      <c r="N725" s="22"/>
      <c r="O725" s="22"/>
      <c r="P725" s="22"/>
      <c r="Q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H725" s="22"/>
      <c r="AI725" s="22"/>
      <c r="AJ725" s="22"/>
      <c r="AK725" s="22"/>
    </row>
    <row r="726" spans="1:37" ht="15.75" customHeight="1" x14ac:dyDescent="0.25">
      <c r="A726" s="22"/>
      <c r="B726" s="22"/>
      <c r="C726" s="22"/>
      <c r="D726" s="22"/>
      <c r="E726" s="22"/>
      <c r="H726" s="22"/>
      <c r="I726" s="22"/>
      <c r="J726" s="22"/>
      <c r="K726" s="22"/>
      <c r="N726" s="22"/>
      <c r="O726" s="22"/>
      <c r="P726" s="22"/>
      <c r="Q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H726" s="22"/>
      <c r="AI726" s="22"/>
      <c r="AJ726" s="22"/>
      <c r="AK726" s="22"/>
    </row>
    <row r="727" spans="1:37" ht="15.75" customHeight="1" x14ac:dyDescent="0.25">
      <c r="A727" s="22"/>
      <c r="B727" s="22"/>
      <c r="C727" s="22"/>
      <c r="D727" s="22"/>
      <c r="E727" s="22"/>
      <c r="H727" s="22"/>
      <c r="I727" s="22"/>
      <c r="J727" s="22"/>
      <c r="K727" s="22"/>
      <c r="N727" s="22"/>
      <c r="O727" s="22"/>
      <c r="P727" s="22"/>
      <c r="Q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H727" s="22"/>
      <c r="AI727" s="22"/>
      <c r="AJ727" s="22"/>
      <c r="AK727" s="22"/>
    </row>
    <row r="728" spans="1:37" ht="15.75" customHeight="1" x14ac:dyDescent="0.25">
      <c r="A728" s="22"/>
      <c r="B728" s="22"/>
      <c r="C728" s="22"/>
      <c r="D728" s="22"/>
      <c r="E728" s="22"/>
      <c r="H728" s="22"/>
      <c r="I728" s="22"/>
      <c r="J728" s="22"/>
      <c r="K728" s="22"/>
      <c r="N728" s="22"/>
      <c r="O728" s="22"/>
      <c r="P728" s="22"/>
      <c r="Q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H728" s="22"/>
      <c r="AI728" s="22"/>
      <c r="AJ728" s="22"/>
      <c r="AK728" s="22"/>
    </row>
    <row r="729" spans="1:37" ht="15.75" customHeight="1" x14ac:dyDescent="0.25">
      <c r="A729" s="22"/>
      <c r="B729" s="22"/>
      <c r="C729" s="22"/>
      <c r="D729" s="22"/>
      <c r="E729" s="22"/>
      <c r="H729" s="22"/>
      <c r="I729" s="22"/>
      <c r="J729" s="22"/>
      <c r="K729" s="22"/>
      <c r="N729" s="22"/>
      <c r="O729" s="22"/>
      <c r="P729" s="22"/>
      <c r="Q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H729" s="22"/>
      <c r="AI729" s="22"/>
      <c r="AJ729" s="22"/>
      <c r="AK729" s="22"/>
    </row>
    <row r="730" spans="1:37" ht="15.75" customHeight="1" x14ac:dyDescent="0.25">
      <c r="A730" s="22"/>
      <c r="B730" s="22"/>
      <c r="C730" s="22"/>
      <c r="D730" s="22"/>
      <c r="E730" s="22"/>
      <c r="H730" s="22"/>
      <c r="I730" s="22"/>
      <c r="J730" s="22"/>
      <c r="K730" s="22"/>
      <c r="N730" s="22"/>
      <c r="O730" s="22"/>
      <c r="P730" s="22"/>
      <c r="Q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H730" s="22"/>
      <c r="AI730" s="22"/>
      <c r="AJ730" s="22"/>
      <c r="AK730" s="22"/>
    </row>
    <row r="731" spans="1:37" ht="15.75" customHeight="1" x14ac:dyDescent="0.25">
      <c r="A731" s="22"/>
      <c r="B731" s="22"/>
      <c r="C731" s="22"/>
      <c r="D731" s="22"/>
      <c r="E731" s="22"/>
      <c r="H731" s="22"/>
      <c r="I731" s="22"/>
      <c r="J731" s="22"/>
      <c r="K731" s="22"/>
      <c r="N731" s="22"/>
      <c r="O731" s="22"/>
      <c r="P731" s="22"/>
      <c r="Q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H731" s="22"/>
      <c r="AI731" s="22"/>
      <c r="AJ731" s="22"/>
      <c r="AK731" s="22"/>
    </row>
    <row r="732" spans="1:37" ht="15.75" customHeight="1" x14ac:dyDescent="0.25">
      <c r="A732" s="22"/>
      <c r="B732" s="22"/>
      <c r="C732" s="22"/>
      <c r="D732" s="22"/>
      <c r="E732" s="22"/>
      <c r="H732" s="22"/>
      <c r="I732" s="22"/>
      <c r="J732" s="22"/>
      <c r="K732" s="22"/>
      <c r="N732" s="22"/>
      <c r="O732" s="22"/>
      <c r="P732" s="22"/>
      <c r="Q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H732" s="22"/>
      <c r="AI732" s="22"/>
      <c r="AJ732" s="22"/>
      <c r="AK732" s="22"/>
    </row>
    <row r="733" spans="1:37" ht="15.75" customHeight="1" x14ac:dyDescent="0.25">
      <c r="A733" s="22"/>
      <c r="B733" s="22"/>
      <c r="C733" s="22"/>
      <c r="D733" s="22"/>
      <c r="E733" s="22"/>
      <c r="H733" s="22"/>
      <c r="I733" s="22"/>
      <c r="J733" s="22"/>
      <c r="K733" s="22"/>
      <c r="N733" s="22"/>
      <c r="O733" s="22"/>
      <c r="P733" s="22"/>
      <c r="Q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H733" s="22"/>
      <c r="AI733" s="22"/>
      <c r="AJ733" s="22"/>
      <c r="AK733" s="22"/>
    </row>
    <row r="734" spans="1:37" ht="15.75" customHeight="1" x14ac:dyDescent="0.25">
      <c r="A734" s="22"/>
      <c r="B734" s="22"/>
      <c r="C734" s="22"/>
      <c r="D734" s="22"/>
      <c r="E734" s="22"/>
      <c r="H734" s="22"/>
      <c r="I734" s="22"/>
      <c r="J734" s="22"/>
      <c r="K734" s="22"/>
      <c r="N734" s="22"/>
      <c r="O734" s="22"/>
      <c r="P734" s="22"/>
      <c r="Q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H734" s="22"/>
      <c r="AI734" s="22"/>
      <c r="AJ734" s="22"/>
      <c r="AK734" s="22"/>
    </row>
    <row r="735" spans="1:37" ht="15.75" customHeight="1" x14ac:dyDescent="0.25">
      <c r="A735" s="22"/>
      <c r="B735" s="22"/>
      <c r="C735" s="22"/>
      <c r="D735" s="22"/>
      <c r="E735" s="22"/>
      <c r="H735" s="22"/>
      <c r="I735" s="22"/>
      <c r="J735" s="22"/>
      <c r="K735" s="22"/>
      <c r="N735" s="22"/>
      <c r="O735" s="22"/>
      <c r="P735" s="22"/>
      <c r="Q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H735" s="22"/>
      <c r="AI735" s="22"/>
      <c r="AJ735" s="22"/>
      <c r="AK735" s="22"/>
    </row>
    <row r="736" spans="1:37" ht="15.75" customHeight="1" x14ac:dyDescent="0.25">
      <c r="A736" s="22"/>
      <c r="B736" s="22"/>
      <c r="C736" s="22"/>
      <c r="D736" s="22"/>
      <c r="E736" s="22"/>
      <c r="H736" s="22"/>
      <c r="I736" s="22"/>
      <c r="J736" s="22"/>
      <c r="K736" s="22"/>
      <c r="N736" s="22"/>
      <c r="O736" s="22"/>
      <c r="P736" s="22"/>
      <c r="Q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H736" s="22"/>
      <c r="AI736" s="22"/>
      <c r="AJ736" s="22"/>
      <c r="AK736" s="22"/>
    </row>
    <row r="737" spans="1:37" ht="15.75" customHeight="1" x14ac:dyDescent="0.25">
      <c r="A737" s="22"/>
      <c r="B737" s="22"/>
      <c r="C737" s="22"/>
      <c r="D737" s="22"/>
      <c r="E737" s="22"/>
      <c r="H737" s="22"/>
      <c r="I737" s="22"/>
      <c r="J737" s="22"/>
      <c r="K737" s="22"/>
      <c r="N737" s="22"/>
      <c r="O737" s="22"/>
      <c r="P737" s="22"/>
      <c r="Q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H737" s="22"/>
      <c r="AI737" s="22"/>
      <c r="AJ737" s="22"/>
      <c r="AK737" s="22"/>
    </row>
    <row r="738" spans="1:37" ht="15.75" customHeight="1" x14ac:dyDescent="0.25">
      <c r="A738" s="22"/>
      <c r="B738" s="22"/>
      <c r="C738" s="22"/>
      <c r="D738" s="22"/>
      <c r="E738" s="22"/>
      <c r="H738" s="22"/>
      <c r="I738" s="22"/>
      <c r="J738" s="22"/>
      <c r="K738" s="22"/>
      <c r="N738" s="22"/>
      <c r="O738" s="22"/>
      <c r="P738" s="22"/>
      <c r="Q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H738" s="22"/>
      <c r="AI738" s="22"/>
      <c r="AJ738" s="22"/>
      <c r="AK738" s="22"/>
    </row>
    <row r="739" spans="1:37" ht="15.75" customHeight="1" x14ac:dyDescent="0.25">
      <c r="A739" s="22"/>
      <c r="B739" s="22"/>
      <c r="C739" s="22"/>
      <c r="D739" s="22"/>
      <c r="E739" s="22"/>
      <c r="H739" s="22"/>
      <c r="I739" s="22"/>
      <c r="J739" s="22"/>
      <c r="K739" s="22"/>
      <c r="N739" s="22"/>
      <c r="O739" s="22"/>
      <c r="P739" s="22"/>
      <c r="Q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H739" s="22"/>
      <c r="AI739" s="22"/>
      <c r="AJ739" s="22"/>
      <c r="AK739" s="22"/>
    </row>
    <row r="740" spans="1:37" ht="15.75" customHeight="1" x14ac:dyDescent="0.25">
      <c r="A740" s="22"/>
      <c r="B740" s="22"/>
      <c r="C740" s="22"/>
      <c r="D740" s="22"/>
      <c r="E740" s="22"/>
      <c r="H740" s="22"/>
      <c r="I740" s="22"/>
      <c r="J740" s="22"/>
      <c r="K740" s="22"/>
      <c r="N740" s="22"/>
      <c r="O740" s="22"/>
      <c r="P740" s="22"/>
      <c r="Q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H740" s="22"/>
      <c r="AI740" s="22"/>
      <c r="AJ740" s="22"/>
      <c r="AK740" s="22"/>
    </row>
    <row r="741" spans="1:37" ht="15.75" customHeight="1" x14ac:dyDescent="0.25">
      <c r="A741" s="22"/>
      <c r="B741" s="22"/>
      <c r="C741" s="22"/>
      <c r="D741" s="22"/>
      <c r="E741" s="22"/>
      <c r="H741" s="22"/>
      <c r="I741" s="22"/>
      <c r="J741" s="22"/>
      <c r="K741" s="22"/>
      <c r="N741" s="22"/>
      <c r="O741" s="22"/>
      <c r="P741" s="22"/>
      <c r="Q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H741" s="22"/>
      <c r="AI741" s="22"/>
      <c r="AJ741" s="22"/>
      <c r="AK741" s="22"/>
    </row>
    <row r="742" spans="1:37" ht="15.75" customHeight="1" x14ac:dyDescent="0.25">
      <c r="A742" s="22"/>
      <c r="B742" s="22"/>
      <c r="C742" s="22"/>
      <c r="D742" s="22"/>
      <c r="E742" s="22"/>
      <c r="H742" s="22"/>
      <c r="I742" s="22"/>
      <c r="J742" s="22"/>
      <c r="K742" s="22"/>
      <c r="N742" s="22"/>
      <c r="O742" s="22"/>
      <c r="P742" s="22"/>
      <c r="Q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H742" s="22"/>
      <c r="AI742" s="22"/>
      <c r="AJ742" s="22"/>
      <c r="AK742" s="22"/>
    </row>
    <row r="743" spans="1:37" ht="15.75" customHeight="1" x14ac:dyDescent="0.25">
      <c r="A743" s="22"/>
      <c r="B743" s="22"/>
      <c r="C743" s="22"/>
      <c r="D743" s="22"/>
      <c r="E743" s="22"/>
      <c r="H743" s="22"/>
      <c r="I743" s="22"/>
      <c r="J743" s="22"/>
      <c r="K743" s="22"/>
      <c r="N743" s="22"/>
      <c r="O743" s="22"/>
      <c r="P743" s="22"/>
      <c r="Q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H743" s="22"/>
      <c r="AI743" s="22"/>
      <c r="AJ743" s="22"/>
      <c r="AK743" s="22"/>
    </row>
    <row r="744" spans="1:37" ht="15.75" customHeight="1" x14ac:dyDescent="0.25">
      <c r="A744" s="22"/>
      <c r="B744" s="22"/>
      <c r="C744" s="22"/>
      <c r="D744" s="22"/>
      <c r="E744" s="22"/>
      <c r="H744" s="22"/>
      <c r="I744" s="22"/>
      <c r="J744" s="22"/>
      <c r="K744" s="22"/>
      <c r="N744" s="22"/>
      <c r="O744" s="22"/>
      <c r="P744" s="22"/>
      <c r="Q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H744" s="22"/>
      <c r="AI744" s="22"/>
      <c r="AJ744" s="22"/>
      <c r="AK744" s="22"/>
    </row>
    <row r="745" spans="1:37" ht="15.75" customHeight="1" x14ac:dyDescent="0.25">
      <c r="A745" s="22"/>
      <c r="B745" s="22"/>
      <c r="C745" s="22"/>
      <c r="D745" s="22"/>
      <c r="E745" s="22"/>
      <c r="H745" s="22"/>
      <c r="I745" s="22"/>
      <c r="J745" s="22"/>
      <c r="K745" s="22"/>
      <c r="N745" s="22"/>
      <c r="O745" s="22"/>
      <c r="P745" s="22"/>
      <c r="Q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H745" s="22"/>
      <c r="AI745" s="22"/>
      <c r="AJ745" s="22"/>
      <c r="AK745" s="22"/>
    </row>
    <row r="746" spans="1:37" ht="15.75" customHeight="1" x14ac:dyDescent="0.25">
      <c r="A746" s="22"/>
      <c r="B746" s="22"/>
      <c r="C746" s="22"/>
      <c r="D746" s="22"/>
      <c r="E746" s="22"/>
      <c r="H746" s="22"/>
      <c r="I746" s="22"/>
      <c r="J746" s="22"/>
      <c r="K746" s="22"/>
      <c r="N746" s="22"/>
      <c r="O746" s="22"/>
      <c r="P746" s="22"/>
      <c r="Q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H746" s="22"/>
      <c r="AI746" s="22"/>
      <c r="AJ746" s="22"/>
      <c r="AK746" s="22"/>
    </row>
    <row r="747" spans="1:37" ht="15.75" customHeight="1" x14ac:dyDescent="0.25">
      <c r="A747" s="22"/>
      <c r="B747" s="22"/>
      <c r="C747" s="22"/>
      <c r="D747" s="22"/>
      <c r="E747" s="22"/>
      <c r="H747" s="22"/>
      <c r="I747" s="22"/>
      <c r="J747" s="22"/>
      <c r="K747" s="22"/>
      <c r="N747" s="22"/>
      <c r="O747" s="22"/>
      <c r="P747" s="22"/>
      <c r="Q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H747" s="22"/>
      <c r="AI747" s="22"/>
      <c r="AJ747" s="22"/>
      <c r="AK747" s="22"/>
    </row>
    <row r="748" spans="1:37" ht="15.75" customHeight="1" x14ac:dyDescent="0.25">
      <c r="A748" s="22"/>
      <c r="B748" s="22"/>
      <c r="C748" s="22"/>
      <c r="D748" s="22"/>
      <c r="E748" s="22"/>
      <c r="H748" s="22"/>
      <c r="I748" s="22"/>
      <c r="J748" s="22"/>
      <c r="K748" s="22"/>
      <c r="N748" s="22"/>
      <c r="O748" s="22"/>
      <c r="P748" s="22"/>
      <c r="Q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H748" s="22"/>
      <c r="AI748" s="22"/>
      <c r="AJ748" s="22"/>
      <c r="AK748" s="22"/>
    </row>
    <row r="749" spans="1:37" ht="15.75" customHeight="1" x14ac:dyDescent="0.25">
      <c r="A749" s="22"/>
      <c r="B749" s="22"/>
      <c r="C749" s="22"/>
      <c r="D749" s="22"/>
      <c r="E749" s="22"/>
      <c r="H749" s="22"/>
      <c r="I749" s="22"/>
      <c r="J749" s="22"/>
      <c r="K749" s="22"/>
      <c r="N749" s="22"/>
      <c r="O749" s="22"/>
      <c r="P749" s="22"/>
      <c r="Q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H749" s="22"/>
      <c r="AI749" s="22"/>
      <c r="AJ749" s="22"/>
      <c r="AK749" s="22"/>
    </row>
    <row r="750" spans="1:37" ht="15.75" customHeight="1" x14ac:dyDescent="0.25">
      <c r="A750" s="22"/>
      <c r="B750" s="22"/>
      <c r="C750" s="22"/>
      <c r="D750" s="22"/>
      <c r="E750" s="22"/>
      <c r="H750" s="22"/>
      <c r="I750" s="22"/>
      <c r="J750" s="22"/>
      <c r="K750" s="22"/>
      <c r="N750" s="22"/>
      <c r="O750" s="22"/>
      <c r="P750" s="22"/>
      <c r="Q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H750" s="22"/>
      <c r="AI750" s="22"/>
      <c r="AJ750" s="22"/>
      <c r="AK750" s="22"/>
    </row>
    <row r="751" spans="1:37" ht="15.75" customHeight="1" x14ac:dyDescent="0.25">
      <c r="A751" s="22"/>
      <c r="B751" s="22"/>
      <c r="C751" s="22"/>
      <c r="D751" s="22"/>
      <c r="E751" s="22"/>
      <c r="H751" s="22"/>
      <c r="I751" s="22"/>
      <c r="J751" s="22"/>
      <c r="K751" s="22"/>
      <c r="N751" s="22"/>
      <c r="O751" s="22"/>
      <c r="P751" s="22"/>
      <c r="Q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H751" s="22"/>
      <c r="AI751" s="22"/>
      <c r="AJ751" s="22"/>
      <c r="AK751" s="22"/>
    </row>
    <row r="752" spans="1:37" ht="15.75" customHeight="1" x14ac:dyDescent="0.25">
      <c r="A752" s="22"/>
      <c r="B752" s="22"/>
      <c r="C752" s="22"/>
      <c r="D752" s="22"/>
      <c r="E752" s="22"/>
      <c r="H752" s="22"/>
      <c r="I752" s="22"/>
      <c r="J752" s="22"/>
      <c r="K752" s="22"/>
      <c r="N752" s="22"/>
      <c r="O752" s="22"/>
      <c r="P752" s="22"/>
      <c r="Q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H752" s="22"/>
      <c r="AI752" s="22"/>
      <c r="AJ752" s="22"/>
      <c r="AK752" s="22"/>
    </row>
    <row r="753" spans="1:37" ht="15.75" customHeight="1" x14ac:dyDescent="0.25">
      <c r="A753" s="22"/>
      <c r="B753" s="22"/>
      <c r="C753" s="22"/>
      <c r="D753" s="22"/>
      <c r="E753" s="22"/>
      <c r="H753" s="22"/>
      <c r="I753" s="22"/>
      <c r="J753" s="22"/>
      <c r="K753" s="22"/>
      <c r="N753" s="22"/>
      <c r="O753" s="22"/>
      <c r="P753" s="22"/>
      <c r="Q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H753" s="22"/>
      <c r="AI753" s="22"/>
      <c r="AJ753" s="22"/>
      <c r="AK753" s="22"/>
    </row>
    <row r="754" spans="1:37" ht="15.75" customHeight="1" x14ac:dyDescent="0.25">
      <c r="A754" s="22"/>
      <c r="B754" s="22"/>
      <c r="C754" s="22"/>
      <c r="D754" s="22"/>
      <c r="E754" s="22"/>
      <c r="H754" s="22"/>
      <c r="I754" s="22"/>
      <c r="J754" s="22"/>
      <c r="K754" s="22"/>
      <c r="N754" s="22"/>
      <c r="O754" s="22"/>
      <c r="P754" s="22"/>
      <c r="Q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H754" s="22"/>
      <c r="AI754" s="22"/>
      <c r="AJ754" s="22"/>
      <c r="AK754" s="22"/>
    </row>
    <row r="755" spans="1:37" ht="15.75" customHeight="1" x14ac:dyDescent="0.25">
      <c r="A755" s="22"/>
      <c r="B755" s="22"/>
      <c r="C755" s="22"/>
      <c r="D755" s="22"/>
      <c r="E755" s="22"/>
      <c r="H755" s="22"/>
      <c r="I755" s="22"/>
      <c r="J755" s="22"/>
      <c r="K755" s="22"/>
      <c r="N755" s="22"/>
      <c r="O755" s="22"/>
      <c r="P755" s="22"/>
      <c r="Q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H755" s="22"/>
      <c r="AI755" s="22"/>
      <c r="AJ755" s="22"/>
      <c r="AK755" s="22"/>
    </row>
    <row r="756" spans="1:37" ht="15.75" customHeight="1" x14ac:dyDescent="0.25">
      <c r="A756" s="22"/>
      <c r="B756" s="22"/>
      <c r="C756" s="22"/>
      <c r="D756" s="22"/>
      <c r="E756" s="22"/>
      <c r="H756" s="22"/>
      <c r="I756" s="22"/>
      <c r="J756" s="22"/>
      <c r="K756" s="22"/>
      <c r="N756" s="22"/>
      <c r="O756" s="22"/>
      <c r="P756" s="22"/>
      <c r="Q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H756" s="22"/>
      <c r="AI756" s="22"/>
      <c r="AJ756" s="22"/>
      <c r="AK756" s="22"/>
    </row>
    <row r="757" spans="1:37" ht="15.75" customHeight="1" x14ac:dyDescent="0.25">
      <c r="A757" s="22"/>
      <c r="B757" s="22"/>
      <c r="C757" s="22"/>
      <c r="D757" s="22"/>
      <c r="E757" s="22"/>
      <c r="H757" s="22"/>
      <c r="I757" s="22"/>
      <c r="J757" s="22"/>
      <c r="K757" s="22"/>
      <c r="N757" s="22"/>
      <c r="O757" s="22"/>
      <c r="P757" s="22"/>
      <c r="Q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H757" s="22"/>
      <c r="AI757" s="22"/>
      <c r="AJ757" s="22"/>
      <c r="AK757" s="22"/>
    </row>
    <row r="758" spans="1:37" ht="15.75" customHeight="1" x14ac:dyDescent="0.25">
      <c r="A758" s="22"/>
      <c r="B758" s="22"/>
      <c r="C758" s="22"/>
      <c r="D758" s="22"/>
      <c r="E758" s="22"/>
      <c r="H758" s="22"/>
      <c r="I758" s="22"/>
      <c r="J758" s="22"/>
      <c r="K758" s="22"/>
      <c r="N758" s="22"/>
      <c r="O758" s="22"/>
      <c r="P758" s="22"/>
      <c r="Q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H758" s="22"/>
      <c r="AI758" s="22"/>
      <c r="AJ758" s="22"/>
      <c r="AK758" s="22"/>
    </row>
    <row r="759" spans="1:37" ht="15.75" customHeight="1" x14ac:dyDescent="0.25">
      <c r="A759" s="22"/>
      <c r="B759" s="22"/>
      <c r="C759" s="22"/>
      <c r="D759" s="22"/>
      <c r="E759" s="22"/>
      <c r="H759" s="22"/>
      <c r="I759" s="22"/>
      <c r="J759" s="22"/>
      <c r="K759" s="22"/>
      <c r="N759" s="22"/>
      <c r="O759" s="22"/>
      <c r="P759" s="22"/>
      <c r="Q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H759" s="22"/>
      <c r="AI759" s="22"/>
      <c r="AJ759" s="22"/>
      <c r="AK759" s="22"/>
    </row>
    <row r="760" spans="1:37" ht="15.75" customHeight="1" x14ac:dyDescent="0.25">
      <c r="A760" s="22"/>
      <c r="B760" s="22"/>
      <c r="C760" s="22"/>
      <c r="D760" s="22"/>
      <c r="E760" s="22"/>
      <c r="H760" s="22"/>
      <c r="I760" s="22"/>
      <c r="J760" s="22"/>
      <c r="K760" s="22"/>
      <c r="N760" s="22"/>
      <c r="O760" s="22"/>
      <c r="P760" s="22"/>
      <c r="Q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H760" s="22"/>
      <c r="AI760" s="22"/>
      <c r="AJ760" s="22"/>
      <c r="AK760" s="22"/>
    </row>
    <row r="761" spans="1:37" ht="15.75" customHeight="1" x14ac:dyDescent="0.25">
      <c r="A761" s="22"/>
      <c r="B761" s="22"/>
      <c r="C761" s="22"/>
      <c r="D761" s="22"/>
      <c r="E761" s="22"/>
      <c r="H761" s="22"/>
      <c r="I761" s="22"/>
      <c r="J761" s="22"/>
      <c r="K761" s="22"/>
      <c r="N761" s="22"/>
      <c r="O761" s="22"/>
      <c r="P761" s="22"/>
      <c r="Q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H761" s="22"/>
      <c r="AI761" s="22"/>
      <c r="AJ761" s="22"/>
      <c r="AK761" s="22"/>
    </row>
    <row r="762" spans="1:37" ht="15.75" customHeight="1" x14ac:dyDescent="0.25">
      <c r="A762" s="22"/>
      <c r="B762" s="22"/>
      <c r="C762" s="22"/>
      <c r="D762" s="22"/>
      <c r="E762" s="22"/>
      <c r="H762" s="22"/>
      <c r="I762" s="22"/>
      <c r="J762" s="22"/>
      <c r="K762" s="22"/>
      <c r="N762" s="22"/>
      <c r="O762" s="22"/>
      <c r="P762" s="22"/>
      <c r="Q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H762" s="22"/>
      <c r="AI762" s="22"/>
      <c r="AJ762" s="22"/>
      <c r="AK762" s="22"/>
    </row>
    <row r="763" spans="1:37" ht="15.75" customHeight="1" x14ac:dyDescent="0.25">
      <c r="A763" s="22"/>
      <c r="B763" s="22"/>
      <c r="C763" s="22"/>
      <c r="D763" s="22"/>
      <c r="E763" s="22"/>
      <c r="H763" s="22"/>
      <c r="I763" s="22"/>
      <c r="J763" s="22"/>
      <c r="K763" s="22"/>
      <c r="N763" s="22"/>
      <c r="O763" s="22"/>
      <c r="P763" s="22"/>
      <c r="Q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H763" s="22"/>
      <c r="AI763" s="22"/>
      <c r="AJ763" s="22"/>
      <c r="AK763" s="22"/>
    </row>
    <row r="764" spans="1:37" ht="15.75" customHeight="1" x14ac:dyDescent="0.25">
      <c r="A764" s="22"/>
      <c r="B764" s="22"/>
      <c r="C764" s="22"/>
      <c r="D764" s="22"/>
      <c r="E764" s="22"/>
      <c r="H764" s="22"/>
      <c r="I764" s="22"/>
      <c r="J764" s="22"/>
      <c r="K764" s="22"/>
      <c r="N764" s="22"/>
      <c r="O764" s="22"/>
      <c r="P764" s="22"/>
      <c r="Q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H764" s="22"/>
      <c r="AI764" s="22"/>
      <c r="AJ764" s="22"/>
      <c r="AK764" s="22"/>
    </row>
    <row r="765" spans="1:37" ht="15.75" customHeight="1" x14ac:dyDescent="0.25">
      <c r="A765" s="22"/>
      <c r="B765" s="22"/>
      <c r="C765" s="22"/>
      <c r="D765" s="22"/>
      <c r="E765" s="22"/>
      <c r="H765" s="22"/>
      <c r="I765" s="22"/>
      <c r="J765" s="22"/>
      <c r="K765" s="22"/>
      <c r="N765" s="22"/>
      <c r="O765" s="22"/>
      <c r="P765" s="22"/>
      <c r="Q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H765" s="22"/>
      <c r="AI765" s="22"/>
      <c r="AJ765" s="22"/>
      <c r="AK765" s="22"/>
    </row>
    <row r="766" spans="1:37" ht="15.75" customHeight="1" x14ac:dyDescent="0.25">
      <c r="A766" s="22"/>
      <c r="B766" s="22"/>
      <c r="C766" s="22"/>
      <c r="D766" s="22"/>
      <c r="E766" s="22"/>
      <c r="H766" s="22"/>
      <c r="I766" s="22"/>
      <c r="J766" s="22"/>
      <c r="K766" s="22"/>
      <c r="N766" s="22"/>
      <c r="O766" s="22"/>
      <c r="P766" s="22"/>
      <c r="Q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H766" s="22"/>
      <c r="AI766" s="22"/>
      <c r="AJ766" s="22"/>
      <c r="AK766" s="22"/>
    </row>
    <row r="767" spans="1:37" ht="15.75" customHeight="1" x14ac:dyDescent="0.25">
      <c r="A767" s="22"/>
      <c r="B767" s="22"/>
      <c r="C767" s="22"/>
      <c r="D767" s="22"/>
      <c r="E767" s="22"/>
      <c r="H767" s="22"/>
      <c r="I767" s="22"/>
      <c r="J767" s="22"/>
      <c r="K767" s="22"/>
      <c r="N767" s="22"/>
      <c r="O767" s="22"/>
      <c r="P767" s="22"/>
      <c r="Q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H767" s="22"/>
      <c r="AI767" s="22"/>
      <c r="AJ767" s="22"/>
      <c r="AK767" s="22"/>
    </row>
    <row r="768" spans="1:37" ht="15.75" customHeight="1" x14ac:dyDescent="0.25">
      <c r="A768" s="22"/>
      <c r="B768" s="22"/>
      <c r="C768" s="22"/>
      <c r="D768" s="22"/>
      <c r="E768" s="22"/>
      <c r="H768" s="22"/>
      <c r="I768" s="22"/>
      <c r="J768" s="22"/>
      <c r="K768" s="22"/>
      <c r="N768" s="22"/>
      <c r="O768" s="22"/>
      <c r="P768" s="22"/>
      <c r="Q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H768" s="22"/>
      <c r="AI768" s="22"/>
      <c r="AJ768" s="22"/>
      <c r="AK768" s="22"/>
    </row>
    <row r="769" spans="1:37" ht="15.75" customHeight="1" x14ac:dyDescent="0.25">
      <c r="A769" s="22"/>
      <c r="B769" s="22"/>
      <c r="C769" s="22"/>
      <c r="D769" s="22"/>
      <c r="E769" s="22"/>
      <c r="H769" s="22"/>
      <c r="I769" s="22"/>
      <c r="J769" s="22"/>
      <c r="K769" s="22"/>
      <c r="N769" s="22"/>
      <c r="O769" s="22"/>
      <c r="P769" s="22"/>
      <c r="Q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H769" s="22"/>
      <c r="AI769" s="22"/>
      <c r="AJ769" s="22"/>
      <c r="AK769" s="22"/>
    </row>
    <row r="770" spans="1:37" ht="15.75" customHeight="1" x14ac:dyDescent="0.25">
      <c r="A770" s="22"/>
      <c r="B770" s="22"/>
      <c r="C770" s="22"/>
      <c r="D770" s="22"/>
      <c r="E770" s="22"/>
      <c r="H770" s="22"/>
      <c r="I770" s="22"/>
      <c r="J770" s="22"/>
      <c r="K770" s="22"/>
      <c r="N770" s="22"/>
      <c r="O770" s="22"/>
      <c r="P770" s="22"/>
      <c r="Q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H770" s="22"/>
      <c r="AI770" s="22"/>
      <c r="AJ770" s="22"/>
      <c r="AK770" s="22"/>
    </row>
    <row r="771" spans="1:37" ht="15.75" customHeight="1" x14ac:dyDescent="0.25">
      <c r="A771" s="22"/>
      <c r="B771" s="22"/>
      <c r="C771" s="22"/>
      <c r="D771" s="22"/>
      <c r="E771" s="22"/>
      <c r="H771" s="22"/>
      <c r="I771" s="22"/>
      <c r="J771" s="22"/>
      <c r="K771" s="22"/>
      <c r="N771" s="22"/>
      <c r="O771" s="22"/>
      <c r="P771" s="22"/>
      <c r="Q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H771" s="22"/>
      <c r="AI771" s="22"/>
      <c r="AJ771" s="22"/>
      <c r="AK771" s="22"/>
    </row>
    <row r="772" spans="1:37" ht="15.75" customHeight="1" x14ac:dyDescent="0.25">
      <c r="A772" s="22"/>
      <c r="B772" s="22"/>
      <c r="C772" s="22"/>
      <c r="D772" s="22"/>
      <c r="E772" s="22"/>
      <c r="H772" s="22"/>
      <c r="I772" s="22"/>
      <c r="J772" s="22"/>
      <c r="K772" s="22"/>
      <c r="N772" s="22"/>
      <c r="O772" s="22"/>
      <c r="P772" s="22"/>
      <c r="Q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H772" s="22"/>
      <c r="AI772" s="22"/>
      <c r="AJ772" s="22"/>
      <c r="AK772" s="22"/>
    </row>
    <row r="773" spans="1:37" ht="15.75" customHeight="1" x14ac:dyDescent="0.25">
      <c r="A773" s="22"/>
      <c r="B773" s="22"/>
      <c r="C773" s="22"/>
      <c r="D773" s="22"/>
      <c r="E773" s="22"/>
      <c r="H773" s="22"/>
      <c r="I773" s="22"/>
      <c r="J773" s="22"/>
      <c r="K773" s="22"/>
      <c r="N773" s="22"/>
      <c r="O773" s="22"/>
      <c r="P773" s="22"/>
      <c r="Q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H773" s="22"/>
      <c r="AI773" s="22"/>
      <c r="AJ773" s="22"/>
      <c r="AK773" s="22"/>
    </row>
    <row r="774" spans="1:37" ht="15.75" customHeight="1" x14ac:dyDescent="0.25">
      <c r="A774" s="22"/>
      <c r="B774" s="22"/>
      <c r="C774" s="22"/>
      <c r="D774" s="22"/>
      <c r="E774" s="22"/>
      <c r="H774" s="22"/>
      <c r="I774" s="22"/>
      <c r="J774" s="22"/>
      <c r="K774" s="22"/>
      <c r="N774" s="22"/>
      <c r="O774" s="22"/>
      <c r="P774" s="22"/>
      <c r="Q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H774" s="22"/>
      <c r="AI774" s="22"/>
      <c r="AJ774" s="22"/>
      <c r="AK774" s="22"/>
    </row>
    <row r="775" spans="1:37" ht="15.75" customHeight="1" x14ac:dyDescent="0.25">
      <c r="A775" s="22"/>
      <c r="B775" s="22"/>
      <c r="C775" s="22"/>
      <c r="D775" s="22"/>
      <c r="E775" s="22"/>
      <c r="H775" s="22"/>
      <c r="I775" s="22"/>
      <c r="J775" s="22"/>
      <c r="K775" s="22"/>
      <c r="N775" s="22"/>
      <c r="O775" s="22"/>
      <c r="P775" s="22"/>
      <c r="Q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H775" s="22"/>
      <c r="AI775" s="22"/>
      <c r="AJ775" s="22"/>
      <c r="AK775" s="22"/>
    </row>
    <row r="776" spans="1:37" ht="15.75" customHeight="1" x14ac:dyDescent="0.25">
      <c r="A776" s="22"/>
      <c r="B776" s="22"/>
      <c r="C776" s="22"/>
      <c r="D776" s="22"/>
      <c r="E776" s="22"/>
      <c r="H776" s="22"/>
      <c r="I776" s="22"/>
      <c r="J776" s="22"/>
      <c r="K776" s="22"/>
      <c r="N776" s="22"/>
      <c r="O776" s="22"/>
      <c r="P776" s="22"/>
      <c r="Q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H776" s="22"/>
      <c r="AI776" s="22"/>
      <c r="AJ776" s="22"/>
      <c r="AK776" s="22"/>
    </row>
    <row r="777" spans="1:37" ht="15.75" customHeight="1" x14ac:dyDescent="0.25">
      <c r="A777" s="22"/>
      <c r="B777" s="22"/>
      <c r="C777" s="22"/>
      <c r="D777" s="22"/>
      <c r="E777" s="22"/>
      <c r="H777" s="22"/>
      <c r="I777" s="22"/>
      <c r="J777" s="22"/>
      <c r="K777" s="22"/>
      <c r="N777" s="22"/>
      <c r="O777" s="22"/>
      <c r="P777" s="22"/>
      <c r="Q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H777" s="22"/>
      <c r="AI777" s="22"/>
      <c r="AJ777" s="22"/>
      <c r="AK777" s="22"/>
    </row>
    <row r="778" spans="1:37" ht="15.75" customHeight="1" x14ac:dyDescent="0.25">
      <c r="A778" s="22"/>
      <c r="B778" s="22"/>
      <c r="C778" s="22"/>
      <c r="D778" s="22"/>
      <c r="E778" s="22"/>
      <c r="H778" s="22"/>
      <c r="I778" s="22"/>
      <c r="J778" s="22"/>
      <c r="K778" s="22"/>
      <c r="N778" s="22"/>
      <c r="O778" s="22"/>
      <c r="P778" s="22"/>
      <c r="Q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H778" s="22"/>
      <c r="AI778" s="22"/>
      <c r="AJ778" s="22"/>
      <c r="AK778" s="22"/>
    </row>
    <row r="779" spans="1:37" ht="15.75" customHeight="1" x14ac:dyDescent="0.25">
      <c r="A779" s="22"/>
      <c r="B779" s="22"/>
      <c r="C779" s="22"/>
      <c r="D779" s="22"/>
      <c r="E779" s="22"/>
      <c r="H779" s="22"/>
      <c r="I779" s="22"/>
      <c r="J779" s="22"/>
      <c r="K779" s="22"/>
      <c r="N779" s="22"/>
      <c r="O779" s="22"/>
      <c r="P779" s="22"/>
      <c r="Q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H779" s="22"/>
      <c r="AI779" s="22"/>
      <c r="AJ779" s="22"/>
      <c r="AK779" s="22"/>
    </row>
    <row r="780" spans="1:37" ht="15.75" customHeight="1" x14ac:dyDescent="0.25">
      <c r="A780" s="22"/>
      <c r="B780" s="22"/>
      <c r="C780" s="22"/>
      <c r="D780" s="22"/>
      <c r="E780" s="22"/>
      <c r="H780" s="22"/>
      <c r="I780" s="22"/>
      <c r="J780" s="22"/>
      <c r="K780" s="22"/>
      <c r="N780" s="22"/>
      <c r="O780" s="22"/>
      <c r="P780" s="22"/>
      <c r="Q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H780" s="22"/>
      <c r="AI780" s="22"/>
      <c r="AJ780" s="22"/>
      <c r="AK780" s="22"/>
    </row>
    <row r="781" spans="1:37" ht="15.75" customHeight="1" x14ac:dyDescent="0.25">
      <c r="A781" s="22"/>
      <c r="B781" s="22"/>
      <c r="C781" s="22"/>
      <c r="D781" s="22"/>
      <c r="E781" s="22"/>
      <c r="H781" s="22"/>
      <c r="I781" s="22"/>
      <c r="J781" s="22"/>
      <c r="K781" s="22"/>
      <c r="N781" s="22"/>
      <c r="O781" s="22"/>
      <c r="P781" s="22"/>
      <c r="Q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H781" s="22"/>
      <c r="AI781" s="22"/>
      <c r="AJ781" s="22"/>
      <c r="AK781" s="22"/>
    </row>
    <row r="782" spans="1:37" ht="15.75" customHeight="1" x14ac:dyDescent="0.25">
      <c r="A782" s="22"/>
      <c r="B782" s="22"/>
      <c r="C782" s="22"/>
      <c r="D782" s="22"/>
      <c r="E782" s="22"/>
      <c r="H782" s="22"/>
      <c r="I782" s="22"/>
      <c r="J782" s="22"/>
      <c r="K782" s="22"/>
      <c r="N782" s="22"/>
      <c r="O782" s="22"/>
      <c r="P782" s="22"/>
      <c r="Q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H782" s="22"/>
      <c r="AI782" s="22"/>
      <c r="AJ782" s="22"/>
      <c r="AK782" s="22"/>
    </row>
    <row r="783" spans="1:37" ht="15.75" customHeight="1" x14ac:dyDescent="0.25">
      <c r="A783" s="22"/>
      <c r="B783" s="22"/>
      <c r="C783" s="22"/>
      <c r="D783" s="22"/>
      <c r="E783" s="22"/>
      <c r="H783" s="22"/>
      <c r="I783" s="22"/>
      <c r="J783" s="22"/>
      <c r="K783" s="22"/>
      <c r="N783" s="22"/>
      <c r="O783" s="22"/>
      <c r="P783" s="22"/>
      <c r="Q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H783" s="22"/>
      <c r="AI783" s="22"/>
      <c r="AJ783" s="22"/>
      <c r="AK783" s="22"/>
    </row>
    <row r="784" spans="1:37" ht="15.75" customHeight="1" x14ac:dyDescent="0.25">
      <c r="A784" s="22"/>
      <c r="B784" s="22"/>
      <c r="C784" s="22"/>
      <c r="D784" s="22"/>
      <c r="E784" s="22"/>
      <c r="H784" s="22"/>
      <c r="I784" s="22"/>
      <c r="J784" s="22"/>
      <c r="K784" s="22"/>
      <c r="N784" s="22"/>
      <c r="O784" s="22"/>
      <c r="P784" s="22"/>
      <c r="Q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H784" s="22"/>
      <c r="AI784" s="22"/>
      <c r="AJ784" s="22"/>
      <c r="AK784" s="22"/>
    </row>
    <row r="785" spans="1:37" ht="15.75" customHeight="1" x14ac:dyDescent="0.25">
      <c r="A785" s="22"/>
      <c r="B785" s="22"/>
      <c r="C785" s="22"/>
      <c r="D785" s="22"/>
      <c r="E785" s="22"/>
      <c r="H785" s="22"/>
      <c r="I785" s="22"/>
      <c r="J785" s="22"/>
      <c r="K785" s="22"/>
      <c r="N785" s="22"/>
      <c r="O785" s="22"/>
      <c r="P785" s="22"/>
      <c r="Q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H785" s="22"/>
      <c r="AI785" s="22"/>
      <c r="AJ785" s="22"/>
      <c r="AK785" s="22"/>
    </row>
    <row r="786" spans="1:37" ht="15.75" customHeight="1" x14ac:dyDescent="0.25">
      <c r="A786" s="22"/>
      <c r="B786" s="22"/>
      <c r="C786" s="22"/>
      <c r="D786" s="22"/>
      <c r="E786" s="22"/>
      <c r="H786" s="22"/>
      <c r="I786" s="22"/>
      <c r="J786" s="22"/>
      <c r="K786" s="22"/>
      <c r="N786" s="22"/>
      <c r="O786" s="22"/>
      <c r="P786" s="22"/>
      <c r="Q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H786" s="22"/>
      <c r="AI786" s="22"/>
      <c r="AJ786" s="22"/>
      <c r="AK786" s="22"/>
    </row>
    <row r="787" spans="1:37" ht="15.75" customHeight="1" x14ac:dyDescent="0.25">
      <c r="A787" s="22"/>
      <c r="B787" s="22"/>
      <c r="C787" s="22"/>
      <c r="D787" s="22"/>
      <c r="E787" s="22"/>
      <c r="H787" s="22"/>
      <c r="I787" s="22"/>
      <c r="J787" s="22"/>
      <c r="K787" s="22"/>
      <c r="N787" s="22"/>
      <c r="O787" s="22"/>
      <c r="P787" s="22"/>
      <c r="Q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H787" s="22"/>
      <c r="AI787" s="22"/>
      <c r="AJ787" s="22"/>
      <c r="AK787" s="22"/>
    </row>
    <row r="788" spans="1:37" ht="15.75" customHeight="1" x14ac:dyDescent="0.25">
      <c r="A788" s="22"/>
      <c r="B788" s="22"/>
      <c r="C788" s="22"/>
      <c r="D788" s="22"/>
      <c r="E788" s="22"/>
      <c r="H788" s="22"/>
      <c r="I788" s="22"/>
      <c r="J788" s="22"/>
      <c r="K788" s="22"/>
      <c r="N788" s="22"/>
      <c r="O788" s="22"/>
      <c r="P788" s="22"/>
      <c r="Q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H788" s="22"/>
      <c r="AI788" s="22"/>
      <c r="AJ788" s="22"/>
      <c r="AK788" s="22"/>
    </row>
    <row r="789" spans="1:37" ht="15.75" customHeight="1" x14ac:dyDescent="0.25">
      <c r="A789" s="22"/>
      <c r="B789" s="22"/>
      <c r="C789" s="22"/>
      <c r="D789" s="22"/>
      <c r="E789" s="22"/>
      <c r="H789" s="22"/>
      <c r="I789" s="22"/>
      <c r="J789" s="22"/>
      <c r="K789" s="22"/>
      <c r="N789" s="22"/>
      <c r="O789" s="22"/>
      <c r="P789" s="22"/>
      <c r="Q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H789" s="22"/>
      <c r="AI789" s="22"/>
      <c r="AJ789" s="22"/>
      <c r="AK789" s="22"/>
    </row>
    <row r="790" spans="1:37" ht="15.75" customHeight="1" x14ac:dyDescent="0.25">
      <c r="A790" s="22"/>
      <c r="B790" s="22"/>
      <c r="C790" s="22"/>
      <c r="D790" s="22"/>
      <c r="E790" s="22"/>
      <c r="H790" s="22"/>
      <c r="I790" s="22"/>
      <c r="J790" s="22"/>
      <c r="K790" s="22"/>
      <c r="N790" s="22"/>
      <c r="O790" s="22"/>
      <c r="P790" s="22"/>
      <c r="Q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H790" s="22"/>
      <c r="AI790" s="22"/>
      <c r="AJ790" s="22"/>
      <c r="AK790" s="22"/>
    </row>
    <row r="791" spans="1:37" ht="15.75" customHeight="1" x14ac:dyDescent="0.25">
      <c r="A791" s="22"/>
      <c r="B791" s="22"/>
      <c r="C791" s="22"/>
      <c r="D791" s="22"/>
      <c r="E791" s="22"/>
      <c r="H791" s="22"/>
      <c r="I791" s="22"/>
      <c r="J791" s="22"/>
      <c r="K791" s="22"/>
      <c r="N791" s="22"/>
      <c r="O791" s="22"/>
      <c r="P791" s="22"/>
      <c r="Q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H791" s="22"/>
      <c r="AI791" s="22"/>
      <c r="AJ791" s="22"/>
      <c r="AK791" s="22"/>
    </row>
    <row r="792" spans="1:37" ht="15.75" customHeight="1" x14ac:dyDescent="0.25">
      <c r="A792" s="22"/>
      <c r="B792" s="22"/>
      <c r="C792" s="22"/>
      <c r="D792" s="22"/>
      <c r="E792" s="22"/>
      <c r="H792" s="22"/>
      <c r="I792" s="22"/>
      <c r="J792" s="22"/>
      <c r="K792" s="22"/>
      <c r="N792" s="22"/>
      <c r="O792" s="22"/>
      <c r="P792" s="22"/>
      <c r="Q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H792" s="22"/>
      <c r="AI792" s="22"/>
      <c r="AJ792" s="22"/>
      <c r="AK792" s="22"/>
    </row>
    <row r="793" spans="1:37" ht="15.75" customHeight="1" x14ac:dyDescent="0.25">
      <c r="A793" s="22"/>
      <c r="B793" s="22"/>
      <c r="C793" s="22"/>
      <c r="D793" s="22"/>
      <c r="E793" s="22"/>
      <c r="H793" s="22"/>
      <c r="I793" s="22"/>
      <c r="J793" s="22"/>
      <c r="K793" s="22"/>
      <c r="N793" s="22"/>
      <c r="O793" s="22"/>
      <c r="P793" s="22"/>
      <c r="Q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H793" s="22"/>
      <c r="AI793" s="22"/>
      <c r="AJ793" s="22"/>
      <c r="AK793" s="22"/>
    </row>
    <row r="794" spans="1:37" ht="15.75" customHeight="1" x14ac:dyDescent="0.25">
      <c r="A794" s="22"/>
      <c r="B794" s="22"/>
      <c r="C794" s="22"/>
      <c r="D794" s="22"/>
      <c r="E794" s="22"/>
      <c r="H794" s="22"/>
      <c r="I794" s="22"/>
      <c r="J794" s="22"/>
      <c r="K794" s="22"/>
      <c r="N794" s="22"/>
      <c r="O794" s="22"/>
      <c r="P794" s="22"/>
      <c r="Q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H794" s="22"/>
      <c r="AI794" s="22"/>
      <c r="AJ794" s="22"/>
      <c r="AK794" s="22"/>
    </row>
    <row r="795" spans="1:37" ht="15.75" customHeight="1" x14ac:dyDescent="0.25">
      <c r="A795" s="22"/>
      <c r="B795" s="22"/>
      <c r="C795" s="22"/>
      <c r="D795" s="22"/>
      <c r="E795" s="22"/>
      <c r="H795" s="22"/>
      <c r="I795" s="22"/>
      <c r="J795" s="22"/>
      <c r="K795" s="22"/>
      <c r="N795" s="22"/>
      <c r="O795" s="22"/>
      <c r="P795" s="22"/>
      <c r="Q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H795" s="22"/>
      <c r="AI795" s="22"/>
      <c r="AJ795" s="22"/>
      <c r="AK795" s="22"/>
    </row>
    <row r="796" spans="1:37" ht="15.75" customHeight="1" x14ac:dyDescent="0.25">
      <c r="A796" s="22"/>
      <c r="B796" s="22"/>
      <c r="C796" s="22"/>
      <c r="D796" s="22"/>
      <c r="E796" s="22"/>
      <c r="H796" s="22"/>
      <c r="I796" s="22"/>
      <c r="J796" s="22"/>
      <c r="K796" s="22"/>
      <c r="N796" s="22"/>
      <c r="O796" s="22"/>
      <c r="P796" s="22"/>
      <c r="Q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H796" s="22"/>
      <c r="AI796" s="22"/>
      <c r="AJ796" s="22"/>
      <c r="AK796" s="22"/>
    </row>
    <row r="797" spans="1:37" ht="15.75" customHeight="1" x14ac:dyDescent="0.25">
      <c r="A797" s="22"/>
      <c r="B797" s="22"/>
      <c r="C797" s="22"/>
      <c r="D797" s="22"/>
      <c r="E797" s="22"/>
      <c r="H797" s="22"/>
      <c r="I797" s="22"/>
      <c r="J797" s="22"/>
      <c r="K797" s="22"/>
      <c r="N797" s="22"/>
      <c r="O797" s="22"/>
      <c r="P797" s="22"/>
      <c r="Q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H797" s="22"/>
      <c r="AI797" s="22"/>
      <c r="AJ797" s="22"/>
      <c r="AK797" s="22"/>
    </row>
    <row r="798" spans="1:37" ht="15.75" customHeight="1" x14ac:dyDescent="0.25">
      <c r="A798" s="22"/>
      <c r="B798" s="22"/>
      <c r="C798" s="22"/>
      <c r="D798" s="22"/>
      <c r="E798" s="22"/>
      <c r="H798" s="22"/>
      <c r="I798" s="22"/>
      <c r="J798" s="22"/>
      <c r="K798" s="22"/>
      <c r="N798" s="22"/>
      <c r="O798" s="22"/>
      <c r="P798" s="22"/>
      <c r="Q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H798" s="22"/>
      <c r="AI798" s="22"/>
      <c r="AJ798" s="22"/>
      <c r="AK798" s="22"/>
    </row>
    <row r="799" spans="1:37" ht="15.75" customHeight="1" x14ac:dyDescent="0.25">
      <c r="A799" s="22"/>
      <c r="B799" s="22"/>
      <c r="C799" s="22"/>
      <c r="D799" s="22"/>
      <c r="E799" s="22"/>
      <c r="H799" s="22"/>
      <c r="I799" s="22"/>
      <c r="J799" s="22"/>
      <c r="K799" s="22"/>
      <c r="N799" s="22"/>
      <c r="O799" s="22"/>
      <c r="P799" s="22"/>
      <c r="Q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H799" s="22"/>
      <c r="AI799" s="22"/>
      <c r="AJ799" s="22"/>
      <c r="AK799" s="22"/>
    </row>
    <row r="800" spans="1:37" ht="15.75" customHeight="1" x14ac:dyDescent="0.25">
      <c r="A800" s="22"/>
      <c r="B800" s="22"/>
      <c r="C800" s="22"/>
      <c r="D800" s="22"/>
      <c r="E800" s="22"/>
      <c r="H800" s="22"/>
      <c r="I800" s="22"/>
      <c r="J800" s="22"/>
      <c r="K800" s="22"/>
      <c r="N800" s="22"/>
      <c r="O800" s="22"/>
      <c r="P800" s="22"/>
      <c r="Q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H800" s="22"/>
      <c r="AI800" s="22"/>
      <c r="AJ800" s="22"/>
      <c r="AK800" s="22"/>
    </row>
    <row r="801" spans="1:37" ht="15.75" customHeight="1" x14ac:dyDescent="0.25">
      <c r="A801" s="22"/>
      <c r="B801" s="22"/>
      <c r="C801" s="22"/>
      <c r="D801" s="22"/>
      <c r="E801" s="22"/>
      <c r="H801" s="22"/>
      <c r="I801" s="22"/>
      <c r="J801" s="22"/>
      <c r="K801" s="22"/>
      <c r="N801" s="22"/>
      <c r="O801" s="22"/>
      <c r="P801" s="22"/>
      <c r="Q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H801" s="22"/>
      <c r="AI801" s="22"/>
      <c r="AJ801" s="22"/>
      <c r="AK801" s="22"/>
    </row>
    <row r="802" spans="1:37" ht="15.75" customHeight="1" x14ac:dyDescent="0.25">
      <c r="A802" s="22"/>
      <c r="B802" s="22"/>
      <c r="C802" s="22"/>
      <c r="D802" s="22"/>
      <c r="E802" s="22"/>
      <c r="H802" s="22"/>
      <c r="I802" s="22"/>
      <c r="J802" s="22"/>
      <c r="K802" s="22"/>
      <c r="N802" s="22"/>
      <c r="O802" s="22"/>
      <c r="P802" s="22"/>
      <c r="Q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H802" s="22"/>
      <c r="AI802" s="22"/>
      <c r="AJ802" s="22"/>
      <c r="AK802" s="22"/>
    </row>
    <row r="803" spans="1:37" ht="15.75" customHeight="1" x14ac:dyDescent="0.25">
      <c r="A803" s="22"/>
      <c r="B803" s="22"/>
      <c r="C803" s="22"/>
      <c r="D803" s="22"/>
      <c r="E803" s="22"/>
      <c r="H803" s="22"/>
      <c r="I803" s="22"/>
      <c r="J803" s="22"/>
      <c r="K803" s="22"/>
      <c r="N803" s="22"/>
      <c r="O803" s="22"/>
      <c r="P803" s="22"/>
      <c r="Q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H803" s="22"/>
      <c r="AI803" s="22"/>
      <c r="AJ803" s="22"/>
      <c r="AK803" s="22"/>
    </row>
    <row r="804" spans="1:37" ht="15.75" customHeight="1" x14ac:dyDescent="0.25">
      <c r="A804" s="22"/>
      <c r="B804" s="22"/>
      <c r="C804" s="22"/>
      <c r="D804" s="22"/>
      <c r="E804" s="22"/>
      <c r="H804" s="22"/>
      <c r="I804" s="22"/>
      <c r="J804" s="22"/>
      <c r="K804" s="22"/>
      <c r="N804" s="22"/>
      <c r="O804" s="22"/>
      <c r="P804" s="22"/>
      <c r="Q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H804" s="22"/>
      <c r="AI804" s="22"/>
      <c r="AJ804" s="22"/>
      <c r="AK804" s="22"/>
    </row>
    <row r="805" spans="1:37" ht="15.75" customHeight="1" x14ac:dyDescent="0.25">
      <c r="A805" s="22"/>
      <c r="B805" s="22"/>
      <c r="C805" s="22"/>
      <c r="D805" s="22"/>
      <c r="E805" s="22"/>
      <c r="H805" s="22"/>
      <c r="I805" s="22"/>
      <c r="J805" s="22"/>
      <c r="K805" s="22"/>
      <c r="N805" s="22"/>
      <c r="O805" s="22"/>
      <c r="P805" s="22"/>
      <c r="Q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H805" s="22"/>
      <c r="AI805" s="22"/>
      <c r="AJ805" s="22"/>
      <c r="AK805" s="22"/>
    </row>
    <row r="806" spans="1:37" ht="15.75" customHeight="1" x14ac:dyDescent="0.25">
      <c r="A806" s="22"/>
      <c r="B806" s="22"/>
      <c r="C806" s="22"/>
      <c r="D806" s="22"/>
      <c r="E806" s="22"/>
      <c r="H806" s="22"/>
      <c r="I806" s="22"/>
      <c r="J806" s="22"/>
      <c r="K806" s="22"/>
      <c r="N806" s="22"/>
      <c r="O806" s="22"/>
      <c r="P806" s="22"/>
      <c r="Q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H806" s="22"/>
      <c r="AI806" s="22"/>
      <c r="AJ806" s="22"/>
      <c r="AK806" s="22"/>
    </row>
    <row r="807" spans="1:37" ht="15.75" customHeight="1" x14ac:dyDescent="0.25">
      <c r="A807" s="22"/>
      <c r="B807" s="22"/>
      <c r="C807" s="22"/>
      <c r="D807" s="22"/>
      <c r="E807" s="22"/>
      <c r="H807" s="22"/>
      <c r="I807" s="22"/>
      <c r="J807" s="22"/>
      <c r="K807" s="22"/>
      <c r="N807" s="22"/>
      <c r="O807" s="22"/>
      <c r="P807" s="22"/>
      <c r="Q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H807" s="22"/>
      <c r="AI807" s="22"/>
      <c r="AJ807" s="22"/>
      <c r="AK807" s="22"/>
    </row>
    <row r="808" spans="1:37" ht="15.75" customHeight="1" x14ac:dyDescent="0.25">
      <c r="A808" s="22"/>
      <c r="B808" s="22"/>
      <c r="C808" s="22"/>
      <c r="D808" s="22"/>
      <c r="E808" s="22"/>
      <c r="H808" s="22"/>
      <c r="I808" s="22"/>
      <c r="J808" s="22"/>
      <c r="K808" s="22"/>
      <c r="N808" s="22"/>
      <c r="O808" s="22"/>
      <c r="P808" s="22"/>
      <c r="Q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H808" s="22"/>
      <c r="AI808" s="22"/>
      <c r="AJ808" s="22"/>
      <c r="AK808" s="22"/>
    </row>
    <row r="809" spans="1:37" ht="15.75" customHeight="1" x14ac:dyDescent="0.25">
      <c r="A809" s="22"/>
      <c r="B809" s="22"/>
      <c r="C809" s="22"/>
      <c r="D809" s="22"/>
      <c r="E809" s="22"/>
      <c r="H809" s="22"/>
      <c r="I809" s="22"/>
      <c r="J809" s="22"/>
      <c r="K809" s="22"/>
      <c r="N809" s="22"/>
      <c r="O809" s="22"/>
      <c r="P809" s="22"/>
      <c r="Q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H809" s="22"/>
      <c r="AI809" s="22"/>
      <c r="AJ809" s="22"/>
      <c r="AK809" s="22"/>
    </row>
    <row r="810" spans="1:37" ht="15.75" customHeight="1" x14ac:dyDescent="0.25">
      <c r="A810" s="22"/>
      <c r="B810" s="22"/>
      <c r="C810" s="22"/>
      <c r="D810" s="22"/>
      <c r="E810" s="22"/>
      <c r="H810" s="22"/>
      <c r="I810" s="22"/>
      <c r="J810" s="22"/>
      <c r="K810" s="22"/>
      <c r="N810" s="22"/>
      <c r="O810" s="22"/>
      <c r="P810" s="22"/>
      <c r="Q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H810" s="22"/>
      <c r="AI810" s="22"/>
      <c r="AJ810" s="22"/>
      <c r="AK810" s="22"/>
    </row>
    <row r="811" spans="1:37" ht="15.75" customHeight="1" x14ac:dyDescent="0.25">
      <c r="A811" s="22"/>
      <c r="B811" s="22"/>
      <c r="C811" s="22"/>
      <c r="D811" s="22"/>
      <c r="E811" s="22"/>
      <c r="H811" s="22"/>
      <c r="I811" s="22"/>
      <c r="J811" s="22"/>
      <c r="K811" s="22"/>
      <c r="N811" s="22"/>
      <c r="O811" s="22"/>
      <c r="P811" s="22"/>
      <c r="Q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H811" s="22"/>
      <c r="AI811" s="22"/>
      <c r="AJ811" s="22"/>
      <c r="AK811" s="22"/>
    </row>
    <row r="812" spans="1:37" ht="15.75" customHeight="1" x14ac:dyDescent="0.25">
      <c r="A812" s="22"/>
      <c r="B812" s="22"/>
      <c r="C812" s="22"/>
      <c r="D812" s="22"/>
      <c r="E812" s="22"/>
      <c r="H812" s="22"/>
      <c r="I812" s="22"/>
      <c r="J812" s="22"/>
      <c r="K812" s="22"/>
      <c r="N812" s="22"/>
      <c r="O812" s="22"/>
      <c r="P812" s="22"/>
      <c r="Q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H812" s="22"/>
      <c r="AI812" s="22"/>
      <c r="AJ812" s="22"/>
      <c r="AK812" s="22"/>
    </row>
    <row r="813" spans="1:37" ht="15.75" customHeight="1" x14ac:dyDescent="0.25">
      <c r="A813" s="22"/>
      <c r="B813" s="22"/>
      <c r="C813" s="22"/>
      <c r="D813" s="22"/>
      <c r="E813" s="22"/>
      <c r="H813" s="22"/>
      <c r="I813" s="22"/>
      <c r="J813" s="22"/>
      <c r="K813" s="22"/>
      <c r="N813" s="22"/>
      <c r="O813" s="22"/>
      <c r="P813" s="22"/>
      <c r="Q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H813" s="22"/>
      <c r="AI813" s="22"/>
      <c r="AJ813" s="22"/>
      <c r="AK813" s="22"/>
    </row>
    <row r="814" spans="1:37" ht="15.75" customHeight="1" x14ac:dyDescent="0.25">
      <c r="A814" s="22"/>
      <c r="B814" s="22"/>
      <c r="C814" s="22"/>
      <c r="D814" s="22"/>
      <c r="E814" s="22"/>
      <c r="H814" s="22"/>
      <c r="I814" s="22"/>
      <c r="J814" s="22"/>
      <c r="K814" s="22"/>
      <c r="N814" s="22"/>
      <c r="O814" s="22"/>
      <c r="P814" s="22"/>
      <c r="Q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H814" s="22"/>
      <c r="AI814" s="22"/>
      <c r="AJ814" s="22"/>
      <c r="AK814" s="22"/>
    </row>
    <row r="815" spans="1:37" ht="15.75" customHeight="1" x14ac:dyDescent="0.25">
      <c r="A815" s="22"/>
      <c r="B815" s="22"/>
      <c r="C815" s="22"/>
      <c r="D815" s="22"/>
      <c r="E815" s="22"/>
      <c r="H815" s="22"/>
      <c r="I815" s="22"/>
      <c r="J815" s="22"/>
      <c r="K815" s="22"/>
      <c r="N815" s="22"/>
      <c r="O815" s="22"/>
      <c r="P815" s="22"/>
      <c r="Q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H815" s="22"/>
      <c r="AI815" s="22"/>
      <c r="AJ815" s="22"/>
      <c r="AK815" s="22"/>
    </row>
    <row r="816" spans="1:37" ht="15.75" customHeight="1" x14ac:dyDescent="0.25">
      <c r="A816" s="22"/>
      <c r="B816" s="22"/>
      <c r="C816" s="22"/>
      <c r="D816" s="22"/>
      <c r="E816" s="22"/>
      <c r="H816" s="22"/>
      <c r="I816" s="22"/>
      <c r="J816" s="22"/>
      <c r="K816" s="22"/>
      <c r="N816" s="22"/>
      <c r="O816" s="22"/>
      <c r="P816" s="22"/>
      <c r="Q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H816" s="22"/>
      <c r="AI816" s="22"/>
      <c r="AJ816" s="22"/>
      <c r="AK816" s="22"/>
    </row>
    <row r="817" spans="1:37" ht="15.75" customHeight="1" x14ac:dyDescent="0.25">
      <c r="A817" s="22"/>
      <c r="B817" s="22"/>
      <c r="C817" s="22"/>
      <c r="D817" s="22"/>
      <c r="E817" s="22"/>
      <c r="H817" s="22"/>
      <c r="I817" s="22"/>
      <c r="J817" s="22"/>
      <c r="K817" s="22"/>
      <c r="N817" s="22"/>
      <c r="O817" s="22"/>
      <c r="P817" s="22"/>
      <c r="Q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H817" s="22"/>
      <c r="AI817" s="22"/>
      <c r="AJ817" s="22"/>
      <c r="AK817" s="22"/>
    </row>
    <row r="818" spans="1:37" ht="15.75" customHeight="1" x14ac:dyDescent="0.25">
      <c r="A818" s="22"/>
      <c r="B818" s="22"/>
      <c r="C818" s="22"/>
      <c r="D818" s="22"/>
      <c r="E818" s="22"/>
      <c r="H818" s="22"/>
      <c r="I818" s="22"/>
      <c r="J818" s="22"/>
      <c r="K818" s="22"/>
      <c r="N818" s="22"/>
      <c r="O818" s="22"/>
      <c r="P818" s="22"/>
      <c r="Q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H818" s="22"/>
      <c r="AI818" s="22"/>
      <c r="AJ818" s="22"/>
      <c r="AK818" s="22"/>
    </row>
    <row r="819" spans="1:37" ht="15.75" customHeight="1" x14ac:dyDescent="0.25">
      <c r="A819" s="22"/>
      <c r="B819" s="22"/>
      <c r="C819" s="22"/>
      <c r="D819" s="22"/>
      <c r="E819" s="22"/>
      <c r="H819" s="22"/>
      <c r="I819" s="22"/>
      <c r="J819" s="22"/>
      <c r="K819" s="22"/>
      <c r="N819" s="22"/>
      <c r="O819" s="22"/>
      <c r="P819" s="22"/>
      <c r="Q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H819" s="22"/>
      <c r="AI819" s="22"/>
      <c r="AJ819" s="22"/>
      <c r="AK819" s="22"/>
    </row>
    <row r="820" spans="1:37" ht="15.75" customHeight="1" x14ac:dyDescent="0.25">
      <c r="A820" s="22"/>
      <c r="B820" s="22"/>
      <c r="C820" s="22"/>
      <c r="D820" s="22"/>
      <c r="E820" s="22"/>
      <c r="H820" s="22"/>
      <c r="I820" s="22"/>
      <c r="J820" s="22"/>
      <c r="K820" s="22"/>
      <c r="N820" s="22"/>
      <c r="O820" s="22"/>
      <c r="P820" s="22"/>
      <c r="Q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H820" s="22"/>
      <c r="AI820" s="22"/>
      <c r="AJ820" s="22"/>
      <c r="AK820" s="22"/>
    </row>
    <row r="821" spans="1:37" ht="15.75" customHeight="1" x14ac:dyDescent="0.25">
      <c r="A821" s="22"/>
      <c r="B821" s="22"/>
      <c r="C821" s="22"/>
      <c r="D821" s="22"/>
      <c r="E821" s="22"/>
      <c r="H821" s="22"/>
      <c r="I821" s="22"/>
      <c r="J821" s="22"/>
      <c r="K821" s="22"/>
      <c r="N821" s="22"/>
      <c r="O821" s="22"/>
      <c r="P821" s="22"/>
      <c r="Q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H821" s="22"/>
      <c r="AI821" s="22"/>
      <c r="AJ821" s="22"/>
      <c r="AK821" s="22"/>
    </row>
    <row r="822" spans="1:37" ht="15.75" customHeight="1" x14ac:dyDescent="0.25">
      <c r="A822" s="22"/>
      <c r="B822" s="22"/>
      <c r="C822" s="22"/>
      <c r="D822" s="22"/>
      <c r="E822" s="22"/>
      <c r="H822" s="22"/>
      <c r="I822" s="22"/>
      <c r="J822" s="22"/>
      <c r="K822" s="22"/>
      <c r="N822" s="22"/>
      <c r="O822" s="22"/>
      <c r="P822" s="22"/>
      <c r="Q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H822" s="22"/>
      <c r="AI822" s="22"/>
      <c r="AJ822" s="22"/>
      <c r="AK822" s="22"/>
    </row>
    <row r="823" spans="1:37" ht="15.75" customHeight="1" x14ac:dyDescent="0.25">
      <c r="A823" s="22"/>
      <c r="B823" s="22"/>
      <c r="C823" s="22"/>
      <c r="D823" s="22"/>
      <c r="E823" s="22"/>
      <c r="H823" s="22"/>
      <c r="I823" s="22"/>
      <c r="J823" s="22"/>
      <c r="K823" s="22"/>
      <c r="N823" s="22"/>
      <c r="O823" s="22"/>
      <c r="P823" s="22"/>
      <c r="Q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H823" s="22"/>
      <c r="AI823" s="22"/>
      <c r="AJ823" s="22"/>
      <c r="AK823" s="22"/>
    </row>
    <row r="824" spans="1:37" ht="15.75" customHeight="1" x14ac:dyDescent="0.25">
      <c r="A824" s="22"/>
      <c r="B824" s="22"/>
      <c r="C824" s="22"/>
      <c r="D824" s="22"/>
      <c r="E824" s="22"/>
      <c r="H824" s="22"/>
      <c r="I824" s="22"/>
      <c r="J824" s="22"/>
      <c r="K824" s="22"/>
      <c r="N824" s="22"/>
      <c r="O824" s="22"/>
      <c r="P824" s="22"/>
      <c r="Q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H824" s="22"/>
      <c r="AI824" s="22"/>
      <c r="AJ824" s="22"/>
      <c r="AK824" s="22"/>
    </row>
    <row r="825" spans="1:37" ht="15.75" customHeight="1" x14ac:dyDescent="0.25">
      <c r="A825" s="22"/>
      <c r="B825" s="22"/>
      <c r="C825" s="22"/>
      <c r="D825" s="22"/>
      <c r="E825" s="22"/>
      <c r="H825" s="22"/>
      <c r="I825" s="22"/>
      <c r="J825" s="22"/>
      <c r="K825" s="22"/>
      <c r="N825" s="22"/>
      <c r="O825" s="22"/>
      <c r="P825" s="22"/>
      <c r="Q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H825" s="22"/>
      <c r="AI825" s="22"/>
      <c r="AJ825" s="22"/>
      <c r="AK825" s="22"/>
    </row>
    <row r="826" spans="1:37" ht="15.75" customHeight="1" x14ac:dyDescent="0.25">
      <c r="A826" s="22"/>
      <c r="B826" s="22"/>
      <c r="C826" s="22"/>
      <c r="D826" s="22"/>
      <c r="E826" s="22"/>
      <c r="H826" s="22"/>
      <c r="I826" s="22"/>
      <c r="J826" s="22"/>
      <c r="K826" s="22"/>
      <c r="N826" s="22"/>
      <c r="O826" s="22"/>
      <c r="P826" s="22"/>
      <c r="Q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H826" s="22"/>
      <c r="AI826" s="22"/>
      <c r="AJ826" s="22"/>
      <c r="AK826" s="22"/>
    </row>
    <row r="827" spans="1:37" ht="15.75" customHeight="1" x14ac:dyDescent="0.25">
      <c r="A827" s="22"/>
      <c r="B827" s="22"/>
      <c r="C827" s="22"/>
      <c r="D827" s="22"/>
      <c r="E827" s="22"/>
      <c r="H827" s="22"/>
      <c r="I827" s="22"/>
      <c r="J827" s="22"/>
      <c r="K827" s="22"/>
      <c r="N827" s="22"/>
      <c r="O827" s="22"/>
      <c r="P827" s="22"/>
      <c r="Q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H827" s="22"/>
      <c r="AI827" s="22"/>
      <c r="AJ827" s="22"/>
      <c r="AK827" s="22"/>
    </row>
    <row r="828" spans="1:37" ht="15.75" customHeight="1" x14ac:dyDescent="0.25">
      <c r="A828" s="22"/>
      <c r="B828" s="22"/>
      <c r="C828" s="22"/>
      <c r="D828" s="22"/>
      <c r="E828" s="22"/>
      <c r="H828" s="22"/>
      <c r="I828" s="22"/>
      <c r="J828" s="22"/>
      <c r="K828" s="22"/>
      <c r="N828" s="22"/>
      <c r="O828" s="22"/>
      <c r="P828" s="22"/>
      <c r="Q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H828" s="22"/>
      <c r="AI828" s="22"/>
      <c r="AJ828" s="22"/>
      <c r="AK828" s="22"/>
    </row>
    <row r="829" spans="1:37" ht="15.75" customHeight="1" x14ac:dyDescent="0.25">
      <c r="A829" s="22"/>
      <c r="B829" s="22"/>
      <c r="C829" s="22"/>
      <c r="D829" s="22"/>
      <c r="E829" s="22"/>
      <c r="H829" s="22"/>
      <c r="I829" s="22"/>
      <c r="J829" s="22"/>
      <c r="K829" s="22"/>
      <c r="N829" s="22"/>
      <c r="O829" s="22"/>
      <c r="P829" s="22"/>
      <c r="Q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H829" s="22"/>
      <c r="AI829" s="22"/>
      <c r="AJ829" s="22"/>
      <c r="AK829" s="22"/>
    </row>
    <row r="830" spans="1:37" ht="15.75" customHeight="1" x14ac:dyDescent="0.25">
      <c r="A830" s="22"/>
      <c r="B830" s="22"/>
      <c r="C830" s="22"/>
      <c r="D830" s="22"/>
      <c r="E830" s="22"/>
      <c r="H830" s="22"/>
      <c r="I830" s="22"/>
      <c r="J830" s="22"/>
      <c r="K830" s="22"/>
      <c r="N830" s="22"/>
      <c r="O830" s="22"/>
      <c r="P830" s="22"/>
      <c r="Q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H830" s="22"/>
      <c r="AI830" s="22"/>
      <c r="AJ830" s="22"/>
      <c r="AK830" s="22"/>
    </row>
    <row r="831" spans="1:37" ht="15.75" customHeight="1" x14ac:dyDescent="0.25">
      <c r="A831" s="22"/>
      <c r="B831" s="22"/>
      <c r="C831" s="22"/>
      <c r="D831" s="22"/>
      <c r="E831" s="22"/>
      <c r="H831" s="22"/>
      <c r="I831" s="22"/>
      <c r="J831" s="22"/>
      <c r="K831" s="22"/>
      <c r="N831" s="22"/>
      <c r="O831" s="22"/>
      <c r="P831" s="22"/>
      <c r="Q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H831" s="22"/>
      <c r="AI831" s="22"/>
      <c r="AJ831" s="22"/>
      <c r="AK831" s="22"/>
    </row>
    <row r="832" spans="1:37" ht="15.75" customHeight="1" x14ac:dyDescent="0.25">
      <c r="A832" s="22"/>
      <c r="B832" s="22"/>
      <c r="C832" s="22"/>
      <c r="D832" s="22"/>
      <c r="E832" s="22"/>
      <c r="H832" s="22"/>
      <c r="I832" s="22"/>
      <c r="J832" s="22"/>
      <c r="K832" s="22"/>
      <c r="N832" s="22"/>
      <c r="O832" s="22"/>
      <c r="P832" s="22"/>
      <c r="Q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H832" s="22"/>
      <c r="AI832" s="22"/>
      <c r="AJ832" s="22"/>
      <c r="AK832" s="22"/>
    </row>
    <row r="833" spans="1:37" ht="15.75" customHeight="1" x14ac:dyDescent="0.25">
      <c r="A833" s="22"/>
      <c r="B833" s="22"/>
      <c r="C833" s="22"/>
      <c r="D833" s="22"/>
      <c r="E833" s="22"/>
      <c r="H833" s="22"/>
      <c r="I833" s="22"/>
      <c r="J833" s="22"/>
      <c r="K833" s="22"/>
      <c r="N833" s="22"/>
      <c r="O833" s="22"/>
      <c r="P833" s="22"/>
      <c r="Q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H833" s="22"/>
      <c r="AI833" s="22"/>
      <c r="AJ833" s="22"/>
      <c r="AK833" s="22"/>
    </row>
    <row r="834" spans="1:37" ht="15.75" customHeight="1" x14ac:dyDescent="0.25">
      <c r="A834" s="22"/>
      <c r="B834" s="22"/>
      <c r="C834" s="22"/>
      <c r="D834" s="22"/>
      <c r="E834" s="22"/>
      <c r="H834" s="22"/>
      <c r="I834" s="22"/>
      <c r="J834" s="22"/>
      <c r="K834" s="22"/>
      <c r="N834" s="22"/>
      <c r="O834" s="22"/>
      <c r="P834" s="22"/>
      <c r="Q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H834" s="22"/>
      <c r="AI834" s="22"/>
      <c r="AJ834" s="22"/>
      <c r="AK834" s="22"/>
    </row>
    <row r="835" spans="1:37" ht="15.75" customHeight="1" x14ac:dyDescent="0.25">
      <c r="A835" s="22"/>
      <c r="B835" s="22"/>
      <c r="C835" s="22"/>
      <c r="D835" s="22"/>
      <c r="E835" s="22"/>
      <c r="H835" s="22"/>
      <c r="I835" s="22"/>
      <c r="J835" s="22"/>
      <c r="K835" s="22"/>
      <c r="N835" s="22"/>
      <c r="O835" s="22"/>
      <c r="P835" s="22"/>
      <c r="Q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H835" s="22"/>
      <c r="AI835" s="22"/>
      <c r="AJ835" s="22"/>
      <c r="AK835" s="22"/>
    </row>
    <row r="836" spans="1:37" ht="15.75" customHeight="1" x14ac:dyDescent="0.25">
      <c r="A836" s="22"/>
      <c r="B836" s="22"/>
      <c r="C836" s="22"/>
      <c r="D836" s="22"/>
      <c r="E836" s="22"/>
      <c r="H836" s="22"/>
      <c r="I836" s="22"/>
      <c r="J836" s="22"/>
      <c r="K836" s="22"/>
      <c r="N836" s="22"/>
      <c r="O836" s="22"/>
      <c r="P836" s="22"/>
      <c r="Q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H836" s="22"/>
      <c r="AI836" s="22"/>
      <c r="AJ836" s="22"/>
      <c r="AK836" s="22"/>
    </row>
    <row r="837" spans="1:37" ht="15.75" customHeight="1" x14ac:dyDescent="0.25">
      <c r="A837" s="22"/>
      <c r="B837" s="22"/>
      <c r="C837" s="22"/>
      <c r="D837" s="22"/>
      <c r="E837" s="22"/>
      <c r="H837" s="22"/>
      <c r="I837" s="22"/>
      <c r="J837" s="22"/>
      <c r="K837" s="22"/>
      <c r="N837" s="22"/>
      <c r="O837" s="22"/>
      <c r="P837" s="22"/>
      <c r="Q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H837" s="22"/>
      <c r="AI837" s="22"/>
      <c r="AJ837" s="22"/>
      <c r="AK837" s="22"/>
    </row>
    <row r="838" spans="1:37" ht="15.75" customHeight="1" x14ac:dyDescent="0.25">
      <c r="A838" s="22"/>
      <c r="B838" s="22"/>
      <c r="C838" s="22"/>
      <c r="D838" s="22"/>
      <c r="E838" s="22"/>
      <c r="H838" s="22"/>
      <c r="I838" s="22"/>
      <c r="J838" s="22"/>
      <c r="K838" s="22"/>
      <c r="N838" s="22"/>
      <c r="O838" s="22"/>
      <c r="P838" s="22"/>
      <c r="Q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H838" s="22"/>
      <c r="AI838" s="22"/>
      <c r="AJ838" s="22"/>
      <c r="AK838" s="22"/>
    </row>
    <row r="839" spans="1:37" ht="15.75" customHeight="1" x14ac:dyDescent="0.25">
      <c r="A839" s="22"/>
      <c r="B839" s="22"/>
      <c r="C839" s="22"/>
      <c r="D839" s="22"/>
      <c r="E839" s="22"/>
      <c r="H839" s="22"/>
      <c r="I839" s="22"/>
      <c r="J839" s="22"/>
      <c r="K839" s="22"/>
      <c r="N839" s="22"/>
      <c r="O839" s="22"/>
      <c r="P839" s="22"/>
      <c r="Q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H839" s="22"/>
      <c r="AI839" s="22"/>
      <c r="AJ839" s="22"/>
      <c r="AK839" s="22"/>
    </row>
    <row r="840" spans="1:37" ht="15.75" customHeight="1" x14ac:dyDescent="0.25">
      <c r="A840" s="22"/>
      <c r="B840" s="22"/>
      <c r="C840" s="22"/>
      <c r="D840" s="22"/>
      <c r="E840" s="22"/>
      <c r="H840" s="22"/>
      <c r="I840" s="22"/>
      <c r="J840" s="22"/>
      <c r="K840" s="22"/>
      <c r="N840" s="22"/>
      <c r="O840" s="22"/>
      <c r="P840" s="22"/>
      <c r="Q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H840" s="22"/>
      <c r="AI840" s="22"/>
      <c r="AJ840" s="22"/>
      <c r="AK840" s="22"/>
    </row>
    <row r="841" spans="1:37" ht="15.75" customHeight="1" x14ac:dyDescent="0.25">
      <c r="A841" s="22"/>
      <c r="B841" s="22"/>
      <c r="C841" s="22"/>
      <c r="D841" s="22"/>
      <c r="E841" s="22"/>
      <c r="H841" s="22"/>
      <c r="I841" s="22"/>
      <c r="J841" s="22"/>
      <c r="K841" s="22"/>
      <c r="N841" s="22"/>
      <c r="O841" s="22"/>
      <c r="P841" s="22"/>
      <c r="Q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H841" s="22"/>
      <c r="AI841" s="22"/>
      <c r="AJ841" s="22"/>
      <c r="AK841" s="22"/>
    </row>
    <row r="842" spans="1:37" ht="15.75" customHeight="1" x14ac:dyDescent="0.25">
      <c r="A842" s="22"/>
      <c r="B842" s="22"/>
      <c r="C842" s="22"/>
      <c r="D842" s="22"/>
      <c r="E842" s="22"/>
      <c r="H842" s="22"/>
      <c r="I842" s="22"/>
      <c r="J842" s="22"/>
      <c r="K842" s="22"/>
      <c r="N842" s="22"/>
      <c r="O842" s="22"/>
      <c r="P842" s="22"/>
      <c r="Q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H842" s="22"/>
      <c r="AI842" s="22"/>
      <c r="AJ842" s="22"/>
      <c r="AK842" s="22"/>
    </row>
    <row r="843" spans="1:37" ht="15.75" customHeight="1" x14ac:dyDescent="0.25">
      <c r="A843" s="22"/>
      <c r="B843" s="22"/>
      <c r="C843" s="22"/>
      <c r="D843" s="22"/>
      <c r="E843" s="22"/>
      <c r="H843" s="22"/>
      <c r="I843" s="22"/>
      <c r="J843" s="22"/>
      <c r="K843" s="22"/>
      <c r="N843" s="22"/>
      <c r="O843" s="22"/>
      <c r="P843" s="22"/>
      <c r="Q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H843" s="22"/>
      <c r="AI843" s="22"/>
      <c r="AJ843" s="22"/>
      <c r="AK843" s="22"/>
    </row>
    <row r="844" spans="1:37" ht="15.75" customHeight="1" x14ac:dyDescent="0.25">
      <c r="A844" s="22"/>
      <c r="B844" s="22"/>
      <c r="C844" s="22"/>
      <c r="D844" s="22"/>
      <c r="E844" s="22"/>
      <c r="H844" s="22"/>
      <c r="I844" s="22"/>
      <c r="J844" s="22"/>
      <c r="K844" s="22"/>
      <c r="N844" s="22"/>
      <c r="O844" s="22"/>
      <c r="P844" s="22"/>
      <c r="Q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H844" s="22"/>
      <c r="AI844" s="22"/>
      <c r="AJ844" s="22"/>
      <c r="AK844" s="22"/>
    </row>
    <row r="845" spans="1:37" ht="15.75" customHeight="1" x14ac:dyDescent="0.25">
      <c r="A845" s="22"/>
      <c r="B845" s="22"/>
      <c r="C845" s="22"/>
      <c r="D845" s="22"/>
      <c r="E845" s="22"/>
      <c r="H845" s="22"/>
      <c r="I845" s="22"/>
      <c r="J845" s="22"/>
      <c r="K845" s="22"/>
      <c r="N845" s="22"/>
      <c r="O845" s="22"/>
      <c r="P845" s="22"/>
      <c r="Q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H845" s="22"/>
      <c r="AI845" s="22"/>
      <c r="AJ845" s="22"/>
      <c r="AK845" s="22"/>
    </row>
    <row r="846" spans="1:37" ht="15.75" customHeight="1" x14ac:dyDescent="0.25">
      <c r="A846" s="22"/>
      <c r="B846" s="22"/>
      <c r="C846" s="22"/>
      <c r="D846" s="22"/>
      <c r="E846" s="22"/>
      <c r="H846" s="22"/>
      <c r="I846" s="22"/>
      <c r="J846" s="22"/>
      <c r="K846" s="22"/>
      <c r="N846" s="22"/>
      <c r="O846" s="22"/>
      <c r="P846" s="22"/>
      <c r="Q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H846" s="22"/>
      <c r="AI846" s="22"/>
      <c r="AJ846" s="22"/>
      <c r="AK846" s="22"/>
    </row>
    <row r="847" spans="1:37" ht="15.75" customHeight="1" x14ac:dyDescent="0.25">
      <c r="A847" s="22"/>
      <c r="B847" s="22"/>
      <c r="C847" s="22"/>
      <c r="D847" s="22"/>
      <c r="E847" s="22"/>
      <c r="H847" s="22"/>
      <c r="I847" s="22"/>
      <c r="J847" s="22"/>
      <c r="K847" s="22"/>
      <c r="N847" s="22"/>
      <c r="O847" s="22"/>
      <c r="P847" s="22"/>
      <c r="Q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H847" s="22"/>
      <c r="AI847" s="22"/>
      <c r="AJ847" s="22"/>
      <c r="AK847" s="22"/>
    </row>
    <row r="848" spans="1:37" ht="15.75" customHeight="1" x14ac:dyDescent="0.25">
      <c r="A848" s="22"/>
      <c r="B848" s="22"/>
      <c r="C848" s="22"/>
      <c r="D848" s="22"/>
      <c r="E848" s="22"/>
      <c r="H848" s="22"/>
      <c r="I848" s="22"/>
      <c r="J848" s="22"/>
      <c r="K848" s="22"/>
      <c r="N848" s="22"/>
      <c r="O848" s="22"/>
      <c r="P848" s="22"/>
      <c r="Q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H848" s="22"/>
      <c r="AI848" s="22"/>
      <c r="AJ848" s="22"/>
      <c r="AK848" s="22"/>
    </row>
    <row r="849" spans="1:37" ht="15.75" customHeight="1" x14ac:dyDescent="0.25">
      <c r="A849" s="22"/>
      <c r="B849" s="22"/>
      <c r="C849" s="22"/>
      <c r="D849" s="22"/>
      <c r="E849" s="22"/>
      <c r="H849" s="22"/>
      <c r="I849" s="22"/>
      <c r="J849" s="22"/>
      <c r="K849" s="22"/>
      <c r="N849" s="22"/>
      <c r="O849" s="22"/>
      <c r="P849" s="22"/>
      <c r="Q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H849" s="22"/>
      <c r="AI849" s="22"/>
      <c r="AJ849" s="22"/>
      <c r="AK849" s="22"/>
    </row>
    <row r="850" spans="1:37" ht="15.75" customHeight="1" x14ac:dyDescent="0.25">
      <c r="A850" s="22"/>
      <c r="B850" s="22"/>
      <c r="C850" s="22"/>
      <c r="D850" s="22"/>
      <c r="E850" s="22"/>
      <c r="H850" s="22"/>
      <c r="I850" s="22"/>
      <c r="J850" s="22"/>
      <c r="K850" s="22"/>
      <c r="N850" s="22"/>
      <c r="O850" s="22"/>
      <c r="P850" s="22"/>
      <c r="Q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H850" s="22"/>
      <c r="AI850" s="22"/>
      <c r="AJ850" s="22"/>
      <c r="AK850" s="22"/>
    </row>
    <row r="851" spans="1:37" ht="15.75" customHeight="1" x14ac:dyDescent="0.25">
      <c r="A851" s="22"/>
      <c r="B851" s="22"/>
      <c r="C851" s="22"/>
      <c r="D851" s="22"/>
      <c r="E851" s="22"/>
      <c r="H851" s="22"/>
      <c r="I851" s="22"/>
      <c r="J851" s="22"/>
      <c r="K851" s="22"/>
      <c r="N851" s="22"/>
      <c r="O851" s="22"/>
      <c r="P851" s="22"/>
      <c r="Q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H851" s="22"/>
      <c r="AI851" s="22"/>
      <c r="AJ851" s="22"/>
      <c r="AK851" s="22"/>
    </row>
    <row r="852" spans="1:37" ht="15.75" customHeight="1" x14ac:dyDescent="0.25">
      <c r="A852" s="22"/>
      <c r="B852" s="22"/>
      <c r="C852" s="22"/>
      <c r="D852" s="22"/>
      <c r="E852" s="22"/>
      <c r="H852" s="22"/>
      <c r="I852" s="22"/>
      <c r="J852" s="22"/>
      <c r="K852" s="22"/>
      <c r="N852" s="22"/>
      <c r="O852" s="22"/>
      <c r="P852" s="22"/>
      <c r="Q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H852" s="22"/>
      <c r="AI852" s="22"/>
      <c r="AJ852" s="22"/>
      <c r="AK852" s="22"/>
    </row>
    <row r="853" spans="1:37" ht="15.75" customHeight="1" x14ac:dyDescent="0.25">
      <c r="A853" s="22"/>
      <c r="B853" s="22"/>
      <c r="C853" s="22"/>
      <c r="D853" s="22"/>
      <c r="E853" s="22"/>
      <c r="H853" s="22"/>
      <c r="I853" s="22"/>
      <c r="J853" s="22"/>
      <c r="K853" s="22"/>
      <c r="N853" s="22"/>
      <c r="O853" s="22"/>
      <c r="P853" s="22"/>
      <c r="Q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H853" s="22"/>
      <c r="AI853" s="22"/>
      <c r="AJ853" s="22"/>
      <c r="AK853" s="22"/>
    </row>
    <row r="854" spans="1:37" ht="15.75" customHeight="1" x14ac:dyDescent="0.25">
      <c r="A854" s="22"/>
      <c r="B854" s="22"/>
      <c r="C854" s="22"/>
      <c r="D854" s="22"/>
      <c r="E854" s="22"/>
      <c r="H854" s="22"/>
      <c r="I854" s="22"/>
      <c r="J854" s="22"/>
      <c r="K854" s="22"/>
      <c r="N854" s="22"/>
      <c r="O854" s="22"/>
      <c r="P854" s="22"/>
      <c r="Q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H854" s="22"/>
      <c r="AI854" s="22"/>
      <c r="AJ854" s="22"/>
      <c r="AK854" s="22"/>
    </row>
    <row r="855" spans="1:37" ht="15.75" customHeight="1" x14ac:dyDescent="0.25">
      <c r="A855" s="22"/>
      <c r="B855" s="22"/>
      <c r="C855" s="22"/>
      <c r="D855" s="22"/>
      <c r="E855" s="22"/>
      <c r="H855" s="22"/>
      <c r="I855" s="22"/>
      <c r="J855" s="22"/>
      <c r="K855" s="22"/>
      <c r="N855" s="22"/>
      <c r="O855" s="22"/>
      <c r="P855" s="22"/>
      <c r="Q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H855" s="22"/>
      <c r="AI855" s="22"/>
      <c r="AJ855" s="22"/>
      <c r="AK855" s="22"/>
    </row>
    <row r="856" spans="1:37" ht="15.75" customHeight="1" x14ac:dyDescent="0.25">
      <c r="A856" s="22"/>
      <c r="B856" s="22"/>
      <c r="C856" s="22"/>
      <c r="D856" s="22"/>
      <c r="E856" s="22"/>
      <c r="H856" s="22"/>
      <c r="I856" s="22"/>
      <c r="J856" s="22"/>
      <c r="K856" s="22"/>
      <c r="N856" s="22"/>
      <c r="O856" s="22"/>
      <c r="P856" s="22"/>
      <c r="Q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H856" s="22"/>
      <c r="AI856" s="22"/>
      <c r="AJ856" s="22"/>
      <c r="AK856" s="22"/>
    </row>
    <row r="857" spans="1:37" ht="15.75" customHeight="1" x14ac:dyDescent="0.25">
      <c r="A857" s="22"/>
      <c r="B857" s="22"/>
      <c r="C857" s="22"/>
      <c r="D857" s="22"/>
      <c r="E857" s="22"/>
      <c r="H857" s="22"/>
      <c r="I857" s="22"/>
      <c r="J857" s="22"/>
      <c r="K857" s="22"/>
      <c r="N857" s="22"/>
      <c r="O857" s="22"/>
      <c r="P857" s="22"/>
      <c r="Q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H857" s="22"/>
      <c r="AI857" s="22"/>
      <c r="AJ857" s="22"/>
      <c r="AK857" s="22"/>
    </row>
    <row r="858" spans="1:37" ht="15.75" customHeight="1" x14ac:dyDescent="0.25">
      <c r="A858" s="22"/>
      <c r="B858" s="22"/>
      <c r="C858" s="22"/>
      <c r="D858" s="22"/>
      <c r="E858" s="22"/>
      <c r="H858" s="22"/>
      <c r="I858" s="22"/>
      <c r="J858" s="22"/>
      <c r="K858" s="22"/>
      <c r="N858" s="22"/>
      <c r="O858" s="22"/>
      <c r="P858" s="22"/>
      <c r="Q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H858" s="22"/>
      <c r="AI858" s="22"/>
      <c r="AJ858" s="22"/>
      <c r="AK858" s="22"/>
    </row>
    <row r="859" spans="1:37" ht="15.75" customHeight="1" x14ac:dyDescent="0.25">
      <c r="A859" s="22"/>
      <c r="B859" s="22"/>
      <c r="C859" s="22"/>
      <c r="D859" s="22"/>
      <c r="E859" s="22"/>
      <c r="H859" s="22"/>
      <c r="I859" s="22"/>
      <c r="J859" s="22"/>
      <c r="K859" s="22"/>
      <c r="N859" s="22"/>
      <c r="O859" s="22"/>
      <c r="P859" s="22"/>
      <c r="Q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H859" s="22"/>
      <c r="AI859" s="22"/>
      <c r="AJ859" s="22"/>
      <c r="AK859" s="22"/>
    </row>
    <row r="860" spans="1:37" ht="15.75" customHeight="1" x14ac:dyDescent="0.25">
      <c r="A860" s="22"/>
      <c r="B860" s="22"/>
      <c r="C860" s="22"/>
      <c r="D860" s="22"/>
      <c r="E860" s="22"/>
      <c r="H860" s="22"/>
      <c r="I860" s="22"/>
      <c r="J860" s="22"/>
      <c r="K860" s="22"/>
      <c r="N860" s="22"/>
      <c r="O860" s="22"/>
      <c r="P860" s="22"/>
      <c r="Q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H860" s="22"/>
      <c r="AI860" s="22"/>
      <c r="AJ860" s="22"/>
      <c r="AK860" s="22"/>
    </row>
    <row r="861" spans="1:37" ht="15.75" customHeight="1" x14ac:dyDescent="0.25">
      <c r="A861" s="22"/>
      <c r="B861" s="22"/>
      <c r="C861" s="22"/>
      <c r="D861" s="22"/>
      <c r="E861" s="22"/>
      <c r="H861" s="22"/>
      <c r="I861" s="22"/>
      <c r="J861" s="22"/>
      <c r="K861" s="22"/>
      <c r="N861" s="22"/>
      <c r="O861" s="22"/>
      <c r="P861" s="22"/>
      <c r="Q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H861" s="22"/>
      <c r="AI861" s="22"/>
      <c r="AJ861" s="22"/>
      <c r="AK861" s="22"/>
    </row>
    <row r="862" spans="1:37" ht="15.75" customHeight="1" x14ac:dyDescent="0.25">
      <c r="A862" s="22"/>
      <c r="B862" s="22"/>
      <c r="C862" s="22"/>
      <c r="D862" s="22"/>
      <c r="E862" s="22"/>
      <c r="H862" s="22"/>
      <c r="I862" s="22"/>
      <c r="J862" s="22"/>
      <c r="K862" s="22"/>
      <c r="N862" s="22"/>
      <c r="O862" s="22"/>
      <c r="P862" s="22"/>
      <c r="Q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H862" s="22"/>
      <c r="AI862" s="22"/>
      <c r="AJ862" s="22"/>
      <c r="AK862" s="22"/>
    </row>
    <row r="863" spans="1:37" ht="15.75" customHeight="1" x14ac:dyDescent="0.25">
      <c r="A863" s="22"/>
      <c r="B863" s="22"/>
      <c r="C863" s="22"/>
      <c r="D863" s="22"/>
      <c r="E863" s="22"/>
      <c r="H863" s="22"/>
      <c r="I863" s="22"/>
      <c r="J863" s="22"/>
      <c r="K863" s="22"/>
      <c r="N863" s="22"/>
      <c r="O863" s="22"/>
      <c r="P863" s="22"/>
      <c r="Q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H863" s="22"/>
      <c r="AI863" s="22"/>
      <c r="AJ863" s="22"/>
      <c r="AK863" s="22"/>
    </row>
    <row r="864" spans="1:37" ht="15.75" customHeight="1" x14ac:dyDescent="0.25">
      <c r="A864" s="22"/>
      <c r="B864" s="22"/>
      <c r="C864" s="22"/>
      <c r="D864" s="22"/>
      <c r="E864" s="22"/>
      <c r="H864" s="22"/>
      <c r="I864" s="22"/>
      <c r="J864" s="22"/>
      <c r="K864" s="22"/>
      <c r="N864" s="22"/>
      <c r="O864" s="22"/>
      <c r="P864" s="22"/>
      <c r="Q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H864" s="22"/>
      <c r="AI864" s="22"/>
      <c r="AJ864" s="22"/>
      <c r="AK864" s="22"/>
    </row>
    <row r="865" spans="1:37" ht="15.75" customHeight="1" x14ac:dyDescent="0.25">
      <c r="A865" s="22"/>
      <c r="B865" s="22"/>
      <c r="C865" s="22"/>
      <c r="D865" s="22"/>
      <c r="E865" s="22"/>
      <c r="H865" s="22"/>
      <c r="I865" s="22"/>
      <c r="J865" s="22"/>
      <c r="K865" s="22"/>
      <c r="N865" s="22"/>
      <c r="O865" s="22"/>
      <c r="P865" s="22"/>
      <c r="Q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H865" s="22"/>
      <c r="AI865" s="22"/>
      <c r="AJ865" s="22"/>
      <c r="AK865" s="22"/>
    </row>
    <row r="866" spans="1:37" ht="15.75" customHeight="1" x14ac:dyDescent="0.25">
      <c r="A866" s="22"/>
      <c r="B866" s="22"/>
      <c r="C866" s="22"/>
      <c r="D866" s="22"/>
      <c r="E866" s="22"/>
      <c r="H866" s="22"/>
      <c r="I866" s="22"/>
      <c r="J866" s="22"/>
      <c r="K866" s="22"/>
      <c r="N866" s="22"/>
      <c r="O866" s="22"/>
      <c r="P866" s="22"/>
      <c r="Q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H866" s="22"/>
      <c r="AI866" s="22"/>
      <c r="AJ866" s="22"/>
      <c r="AK866" s="22"/>
    </row>
    <row r="867" spans="1:37" ht="15.75" customHeight="1" x14ac:dyDescent="0.25">
      <c r="A867" s="22"/>
      <c r="B867" s="22"/>
      <c r="C867" s="22"/>
      <c r="D867" s="22"/>
      <c r="E867" s="22"/>
      <c r="H867" s="22"/>
      <c r="I867" s="22"/>
      <c r="J867" s="22"/>
      <c r="K867" s="22"/>
      <c r="N867" s="22"/>
      <c r="O867" s="22"/>
      <c r="P867" s="22"/>
      <c r="Q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H867" s="22"/>
      <c r="AI867" s="22"/>
      <c r="AJ867" s="22"/>
      <c r="AK867" s="22"/>
    </row>
    <row r="868" spans="1:37" ht="15.75" customHeight="1" x14ac:dyDescent="0.25">
      <c r="A868" s="22"/>
      <c r="B868" s="22"/>
      <c r="C868" s="22"/>
      <c r="D868" s="22"/>
      <c r="E868" s="22"/>
      <c r="H868" s="22"/>
      <c r="I868" s="22"/>
      <c r="J868" s="22"/>
      <c r="K868" s="22"/>
      <c r="N868" s="22"/>
      <c r="O868" s="22"/>
      <c r="P868" s="22"/>
      <c r="Q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H868" s="22"/>
      <c r="AI868" s="22"/>
      <c r="AJ868" s="22"/>
      <c r="AK868" s="22"/>
    </row>
    <row r="869" spans="1:37" ht="15.75" customHeight="1" x14ac:dyDescent="0.25">
      <c r="A869" s="22"/>
      <c r="B869" s="22"/>
      <c r="C869" s="22"/>
      <c r="D869" s="22"/>
      <c r="E869" s="22"/>
      <c r="H869" s="22"/>
      <c r="I869" s="22"/>
      <c r="J869" s="22"/>
      <c r="K869" s="22"/>
      <c r="N869" s="22"/>
      <c r="O869" s="22"/>
      <c r="P869" s="22"/>
      <c r="Q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H869" s="22"/>
      <c r="AI869" s="22"/>
      <c r="AJ869" s="22"/>
      <c r="AK869" s="22"/>
    </row>
    <row r="870" spans="1:37" ht="15.75" customHeight="1" x14ac:dyDescent="0.25">
      <c r="A870" s="22"/>
      <c r="B870" s="22"/>
      <c r="C870" s="22"/>
      <c r="D870" s="22"/>
      <c r="E870" s="22"/>
      <c r="H870" s="22"/>
      <c r="I870" s="22"/>
      <c r="J870" s="22"/>
      <c r="K870" s="22"/>
      <c r="N870" s="22"/>
      <c r="O870" s="22"/>
      <c r="P870" s="22"/>
      <c r="Q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H870" s="22"/>
      <c r="AI870" s="22"/>
      <c r="AJ870" s="22"/>
      <c r="AK870" s="22"/>
    </row>
    <row r="871" spans="1:37" ht="15.75" customHeight="1" x14ac:dyDescent="0.25">
      <c r="A871" s="22"/>
      <c r="B871" s="22"/>
      <c r="C871" s="22"/>
      <c r="D871" s="22"/>
      <c r="E871" s="22"/>
      <c r="H871" s="22"/>
      <c r="I871" s="22"/>
      <c r="J871" s="22"/>
      <c r="K871" s="22"/>
      <c r="N871" s="22"/>
      <c r="O871" s="22"/>
      <c r="P871" s="22"/>
      <c r="Q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H871" s="22"/>
      <c r="AI871" s="22"/>
      <c r="AJ871" s="22"/>
      <c r="AK871" s="22"/>
    </row>
    <row r="872" spans="1:37" ht="15.75" customHeight="1" x14ac:dyDescent="0.25">
      <c r="A872" s="22"/>
      <c r="B872" s="22"/>
      <c r="C872" s="22"/>
      <c r="D872" s="22"/>
      <c r="E872" s="22"/>
      <c r="H872" s="22"/>
      <c r="I872" s="22"/>
      <c r="J872" s="22"/>
      <c r="K872" s="22"/>
      <c r="N872" s="22"/>
      <c r="O872" s="22"/>
      <c r="P872" s="22"/>
      <c r="Q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H872" s="22"/>
      <c r="AI872" s="22"/>
      <c r="AJ872" s="22"/>
      <c r="AK872" s="22"/>
    </row>
    <row r="873" spans="1:37" ht="15.75" customHeight="1" x14ac:dyDescent="0.25">
      <c r="A873" s="22"/>
      <c r="B873" s="22"/>
      <c r="C873" s="22"/>
      <c r="D873" s="22"/>
      <c r="E873" s="22"/>
      <c r="H873" s="22"/>
      <c r="I873" s="22"/>
      <c r="J873" s="22"/>
      <c r="K873" s="22"/>
      <c r="N873" s="22"/>
      <c r="O873" s="22"/>
      <c r="P873" s="22"/>
      <c r="Q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H873" s="22"/>
      <c r="AI873" s="22"/>
      <c r="AJ873" s="22"/>
      <c r="AK873" s="22"/>
    </row>
    <row r="874" spans="1:37" ht="15.75" customHeight="1" x14ac:dyDescent="0.25">
      <c r="A874" s="22"/>
      <c r="B874" s="22"/>
      <c r="C874" s="22"/>
      <c r="D874" s="22"/>
      <c r="E874" s="22"/>
      <c r="H874" s="22"/>
      <c r="I874" s="22"/>
      <c r="J874" s="22"/>
      <c r="K874" s="22"/>
      <c r="N874" s="22"/>
      <c r="O874" s="22"/>
      <c r="P874" s="22"/>
      <c r="Q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H874" s="22"/>
      <c r="AI874" s="22"/>
      <c r="AJ874" s="22"/>
      <c r="AK874" s="22"/>
    </row>
    <row r="875" spans="1:37" ht="15.75" customHeight="1" x14ac:dyDescent="0.25">
      <c r="A875" s="22"/>
      <c r="B875" s="22"/>
      <c r="C875" s="22"/>
      <c r="D875" s="22"/>
      <c r="E875" s="22"/>
      <c r="H875" s="22"/>
      <c r="I875" s="22"/>
      <c r="J875" s="22"/>
      <c r="K875" s="22"/>
      <c r="N875" s="22"/>
      <c r="O875" s="22"/>
      <c r="P875" s="22"/>
      <c r="Q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H875" s="22"/>
      <c r="AI875" s="22"/>
      <c r="AJ875" s="22"/>
      <c r="AK875" s="22"/>
    </row>
    <row r="876" spans="1:37" ht="15.75" customHeight="1" x14ac:dyDescent="0.25">
      <c r="A876" s="22"/>
      <c r="B876" s="22"/>
      <c r="C876" s="22"/>
      <c r="D876" s="22"/>
      <c r="E876" s="22"/>
      <c r="H876" s="22"/>
      <c r="I876" s="22"/>
      <c r="J876" s="22"/>
      <c r="K876" s="22"/>
      <c r="N876" s="22"/>
      <c r="O876" s="22"/>
      <c r="P876" s="22"/>
      <c r="Q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H876" s="22"/>
      <c r="AI876" s="22"/>
      <c r="AJ876" s="22"/>
      <c r="AK876" s="22"/>
    </row>
    <row r="877" spans="1:37" ht="15.75" customHeight="1" x14ac:dyDescent="0.25">
      <c r="A877" s="22"/>
      <c r="B877" s="22"/>
      <c r="C877" s="22"/>
      <c r="D877" s="22"/>
      <c r="E877" s="22"/>
      <c r="H877" s="22"/>
      <c r="I877" s="22"/>
      <c r="J877" s="22"/>
      <c r="K877" s="22"/>
      <c r="N877" s="22"/>
      <c r="O877" s="22"/>
      <c r="P877" s="22"/>
      <c r="Q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H877" s="22"/>
      <c r="AI877" s="22"/>
      <c r="AJ877" s="22"/>
      <c r="AK877" s="22"/>
    </row>
    <row r="878" spans="1:37" ht="15.75" customHeight="1" x14ac:dyDescent="0.25">
      <c r="A878" s="22"/>
      <c r="B878" s="22"/>
      <c r="C878" s="22"/>
      <c r="D878" s="22"/>
      <c r="E878" s="22"/>
      <c r="H878" s="22"/>
      <c r="I878" s="22"/>
      <c r="J878" s="22"/>
      <c r="K878" s="22"/>
      <c r="N878" s="22"/>
      <c r="O878" s="22"/>
      <c r="P878" s="22"/>
      <c r="Q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H878" s="22"/>
      <c r="AI878" s="22"/>
      <c r="AJ878" s="22"/>
      <c r="AK878" s="22"/>
    </row>
    <row r="879" spans="1:37" ht="15.75" customHeight="1" x14ac:dyDescent="0.25">
      <c r="A879" s="22"/>
      <c r="B879" s="22"/>
      <c r="C879" s="22"/>
      <c r="D879" s="22"/>
      <c r="E879" s="22"/>
      <c r="H879" s="22"/>
      <c r="I879" s="22"/>
      <c r="J879" s="22"/>
      <c r="K879" s="22"/>
      <c r="N879" s="22"/>
      <c r="O879" s="22"/>
      <c r="P879" s="22"/>
      <c r="Q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H879" s="22"/>
      <c r="AI879" s="22"/>
      <c r="AJ879" s="22"/>
      <c r="AK879" s="22"/>
    </row>
    <row r="880" spans="1:37" ht="15.75" customHeight="1" x14ac:dyDescent="0.25">
      <c r="A880" s="22"/>
      <c r="B880" s="22"/>
      <c r="C880" s="22"/>
      <c r="D880" s="22"/>
      <c r="E880" s="22"/>
      <c r="H880" s="22"/>
      <c r="I880" s="22"/>
      <c r="J880" s="22"/>
      <c r="K880" s="22"/>
      <c r="N880" s="22"/>
      <c r="O880" s="22"/>
      <c r="P880" s="22"/>
      <c r="Q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H880" s="22"/>
      <c r="AI880" s="22"/>
      <c r="AJ880" s="22"/>
      <c r="AK880" s="22"/>
    </row>
    <row r="881" spans="1:37" ht="15.75" customHeight="1" x14ac:dyDescent="0.25">
      <c r="A881" s="22"/>
      <c r="B881" s="22"/>
      <c r="C881" s="22"/>
      <c r="D881" s="22"/>
      <c r="E881" s="22"/>
      <c r="H881" s="22"/>
      <c r="I881" s="22"/>
      <c r="J881" s="22"/>
      <c r="K881" s="22"/>
      <c r="N881" s="22"/>
      <c r="O881" s="22"/>
      <c r="P881" s="22"/>
      <c r="Q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H881" s="22"/>
      <c r="AI881" s="22"/>
      <c r="AJ881" s="22"/>
      <c r="AK881" s="22"/>
    </row>
    <row r="882" spans="1:37" ht="15.75" customHeight="1" x14ac:dyDescent="0.25">
      <c r="A882" s="22"/>
      <c r="B882" s="22"/>
      <c r="C882" s="22"/>
      <c r="D882" s="22"/>
      <c r="E882" s="22"/>
      <c r="H882" s="22"/>
      <c r="I882" s="22"/>
      <c r="J882" s="22"/>
      <c r="K882" s="22"/>
      <c r="N882" s="22"/>
      <c r="O882" s="22"/>
      <c r="P882" s="22"/>
      <c r="Q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H882" s="22"/>
      <c r="AI882" s="22"/>
      <c r="AJ882" s="22"/>
      <c r="AK882" s="22"/>
    </row>
    <row r="883" spans="1:37" ht="15.75" customHeight="1" x14ac:dyDescent="0.25">
      <c r="A883" s="22"/>
      <c r="B883" s="22"/>
      <c r="C883" s="22"/>
      <c r="D883" s="22"/>
      <c r="E883" s="22"/>
      <c r="H883" s="22"/>
      <c r="I883" s="22"/>
      <c r="J883" s="22"/>
      <c r="K883" s="22"/>
      <c r="N883" s="22"/>
      <c r="O883" s="22"/>
      <c r="P883" s="22"/>
      <c r="Q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H883" s="22"/>
      <c r="AI883" s="22"/>
      <c r="AJ883" s="22"/>
      <c r="AK883" s="22"/>
    </row>
    <row r="884" spans="1:37" ht="15.75" customHeight="1" x14ac:dyDescent="0.25">
      <c r="A884" s="22"/>
      <c r="B884" s="22"/>
      <c r="C884" s="22"/>
      <c r="D884" s="22"/>
      <c r="E884" s="22"/>
      <c r="H884" s="22"/>
      <c r="I884" s="22"/>
      <c r="J884" s="22"/>
      <c r="K884" s="22"/>
      <c r="N884" s="22"/>
      <c r="O884" s="22"/>
      <c r="P884" s="22"/>
      <c r="Q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H884" s="22"/>
      <c r="AI884" s="22"/>
      <c r="AJ884" s="22"/>
      <c r="AK884" s="22"/>
    </row>
    <row r="885" spans="1:37" ht="15.75" customHeight="1" x14ac:dyDescent="0.25">
      <c r="A885" s="22"/>
      <c r="B885" s="22"/>
      <c r="C885" s="22"/>
      <c r="D885" s="22"/>
      <c r="E885" s="22"/>
      <c r="H885" s="22"/>
      <c r="I885" s="22"/>
      <c r="J885" s="22"/>
      <c r="K885" s="22"/>
      <c r="N885" s="22"/>
      <c r="O885" s="22"/>
      <c r="P885" s="22"/>
      <c r="Q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H885" s="22"/>
      <c r="AI885" s="22"/>
      <c r="AJ885" s="22"/>
      <c r="AK885" s="22"/>
    </row>
    <row r="886" spans="1:37" ht="15.75" customHeight="1" x14ac:dyDescent="0.25">
      <c r="A886" s="22"/>
      <c r="B886" s="22"/>
      <c r="C886" s="22"/>
      <c r="D886" s="22"/>
      <c r="E886" s="22"/>
      <c r="H886" s="22"/>
      <c r="I886" s="22"/>
      <c r="J886" s="22"/>
      <c r="K886" s="22"/>
      <c r="N886" s="22"/>
      <c r="O886" s="22"/>
      <c r="P886" s="22"/>
      <c r="Q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H886" s="22"/>
      <c r="AI886" s="22"/>
      <c r="AJ886" s="22"/>
      <c r="AK886" s="22"/>
    </row>
    <row r="887" spans="1:37" ht="15.75" customHeight="1" x14ac:dyDescent="0.25">
      <c r="A887" s="22"/>
      <c r="B887" s="22"/>
      <c r="C887" s="22"/>
      <c r="D887" s="22"/>
      <c r="E887" s="22"/>
      <c r="H887" s="22"/>
      <c r="I887" s="22"/>
      <c r="J887" s="22"/>
      <c r="K887" s="22"/>
      <c r="N887" s="22"/>
      <c r="O887" s="22"/>
      <c r="P887" s="22"/>
      <c r="Q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H887" s="22"/>
      <c r="AI887" s="22"/>
      <c r="AJ887" s="22"/>
      <c r="AK887" s="22"/>
    </row>
    <row r="888" spans="1:37" ht="15.75" customHeight="1" x14ac:dyDescent="0.25">
      <c r="A888" s="22"/>
      <c r="B888" s="22"/>
      <c r="C888" s="22"/>
      <c r="D888" s="22"/>
      <c r="E888" s="22"/>
      <c r="H888" s="22"/>
      <c r="I888" s="22"/>
      <c r="J888" s="22"/>
      <c r="K888" s="22"/>
      <c r="N888" s="22"/>
      <c r="O888" s="22"/>
      <c r="P888" s="22"/>
      <c r="Q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H888" s="22"/>
      <c r="AI888" s="22"/>
      <c r="AJ888" s="22"/>
      <c r="AK888" s="22"/>
    </row>
    <row r="889" spans="1:37" ht="15.75" customHeight="1" x14ac:dyDescent="0.25">
      <c r="A889" s="22"/>
      <c r="B889" s="22"/>
      <c r="C889" s="22"/>
      <c r="D889" s="22"/>
      <c r="E889" s="22"/>
      <c r="H889" s="22"/>
      <c r="I889" s="22"/>
      <c r="J889" s="22"/>
      <c r="K889" s="22"/>
      <c r="N889" s="22"/>
      <c r="O889" s="22"/>
      <c r="P889" s="22"/>
      <c r="Q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H889" s="22"/>
      <c r="AI889" s="22"/>
      <c r="AJ889" s="22"/>
      <c r="AK889" s="22"/>
    </row>
    <row r="890" spans="1:37" ht="15.75" customHeight="1" x14ac:dyDescent="0.25">
      <c r="A890" s="22"/>
      <c r="B890" s="22"/>
      <c r="C890" s="22"/>
      <c r="D890" s="22"/>
      <c r="E890" s="22"/>
      <c r="H890" s="22"/>
      <c r="I890" s="22"/>
      <c r="J890" s="22"/>
      <c r="K890" s="22"/>
      <c r="N890" s="22"/>
      <c r="O890" s="22"/>
      <c r="P890" s="22"/>
      <c r="Q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H890" s="22"/>
      <c r="AI890" s="22"/>
      <c r="AJ890" s="22"/>
      <c r="AK890" s="22"/>
    </row>
    <row r="891" spans="1:37" ht="15.75" customHeight="1" x14ac:dyDescent="0.25">
      <c r="A891" s="22"/>
      <c r="B891" s="22"/>
      <c r="C891" s="22"/>
      <c r="D891" s="22"/>
      <c r="E891" s="22"/>
      <c r="H891" s="22"/>
      <c r="I891" s="22"/>
      <c r="J891" s="22"/>
      <c r="K891" s="22"/>
      <c r="N891" s="22"/>
      <c r="O891" s="22"/>
      <c r="P891" s="22"/>
      <c r="Q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H891" s="22"/>
      <c r="AI891" s="22"/>
      <c r="AJ891" s="22"/>
      <c r="AK891" s="22"/>
    </row>
    <row r="892" spans="1:37" ht="15.75" customHeight="1" x14ac:dyDescent="0.25">
      <c r="A892" s="22"/>
      <c r="B892" s="22"/>
      <c r="C892" s="22"/>
      <c r="D892" s="22"/>
      <c r="E892" s="22"/>
      <c r="H892" s="22"/>
      <c r="I892" s="22"/>
      <c r="J892" s="22"/>
      <c r="K892" s="22"/>
      <c r="N892" s="22"/>
      <c r="O892" s="22"/>
      <c r="P892" s="22"/>
      <c r="Q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H892" s="22"/>
      <c r="AI892" s="22"/>
      <c r="AJ892" s="22"/>
      <c r="AK892" s="22"/>
    </row>
    <row r="893" spans="1:37" ht="15.75" customHeight="1" x14ac:dyDescent="0.25">
      <c r="A893" s="22"/>
      <c r="B893" s="22"/>
      <c r="C893" s="22"/>
      <c r="D893" s="22"/>
      <c r="E893" s="22"/>
      <c r="H893" s="22"/>
      <c r="I893" s="22"/>
      <c r="J893" s="22"/>
      <c r="K893" s="22"/>
      <c r="N893" s="22"/>
      <c r="O893" s="22"/>
      <c r="P893" s="22"/>
      <c r="Q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H893" s="22"/>
      <c r="AI893" s="22"/>
      <c r="AJ893" s="22"/>
      <c r="AK893" s="22"/>
    </row>
    <row r="894" spans="1:37" ht="15.75" customHeight="1" x14ac:dyDescent="0.25">
      <c r="A894" s="22"/>
      <c r="B894" s="22"/>
      <c r="C894" s="22"/>
      <c r="D894" s="22"/>
      <c r="E894" s="22"/>
      <c r="H894" s="22"/>
      <c r="I894" s="22"/>
      <c r="J894" s="22"/>
      <c r="K894" s="22"/>
      <c r="N894" s="22"/>
      <c r="O894" s="22"/>
      <c r="P894" s="22"/>
      <c r="Q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H894" s="22"/>
      <c r="AI894" s="22"/>
      <c r="AJ894" s="22"/>
      <c r="AK894" s="22"/>
    </row>
    <row r="895" spans="1:37" ht="15.75" customHeight="1" x14ac:dyDescent="0.25">
      <c r="A895" s="22"/>
      <c r="B895" s="22"/>
      <c r="C895" s="22"/>
      <c r="D895" s="22"/>
      <c r="E895" s="22"/>
      <c r="H895" s="22"/>
      <c r="I895" s="22"/>
      <c r="J895" s="22"/>
      <c r="K895" s="22"/>
      <c r="N895" s="22"/>
      <c r="O895" s="22"/>
      <c r="P895" s="22"/>
      <c r="Q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H895" s="22"/>
      <c r="AI895" s="22"/>
      <c r="AJ895" s="22"/>
      <c r="AK895" s="22"/>
    </row>
    <row r="896" spans="1:37" ht="15.75" customHeight="1" x14ac:dyDescent="0.25">
      <c r="A896" s="22"/>
      <c r="B896" s="22"/>
      <c r="C896" s="22"/>
      <c r="D896" s="22"/>
      <c r="E896" s="22"/>
      <c r="H896" s="22"/>
      <c r="I896" s="22"/>
      <c r="J896" s="22"/>
      <c r="K896" s="22"/>
      <c r="N896" s="22"/>
      <c r="O896" s="22"/>
      <c r="P896" s="22"/>
      <c r="Q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H896" s="22"/>
      <c r="AI896" s="22"/>
      <c r="AJ896" s="22"/>
      <c r="AK896" s="22"/>
    </row>
    <row r="897" spans="1:37" ht="15.75" customHeight="1" x14ac:dyDescent="0.25">
      <c r="A897" s="22"/>
      <c r="B897" s="22"/>
      <c r="C897" s="22"/>
      <c r="D897" s="22"/>
      <c r="E897" s="22"/>
      <c r="H897" s="22"/>
      <c r="I897" s="22"/>
      <c r="J897" s="22"/>
      <c r="K897" s="22"/>
      <c r="N897" s="22"/>
      <c r="O897" s="22"/>
      <c r="P897" s="22"/>
      <c r="Q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H897" s="22"/>
      <c r="AI897" s="22"/>
      <c r="AJ897" s="22"/>
      <c r="AK897" s="22"/>
    </row>
    <row r="898" spans="1:37" ht="15.75" customHeight="1" x14ac:dyDescent="0.25">
      <c r="A898" s="22"/>
      <c r="B898" s="22"/>
      <c r="C898" s="22"/>
      <c r="D898" s="22"/>
      <c r="E898" s="22"/>
      <c r="H898" s="22"/>
      <c r="I898" s="22"/>
      <c r="J898" s="22"/>
      <c r="K898" s="22"/>
      <c r="N898" s="22"/>
      <c r="O898" s="22"/>
      <c r="P898" s="22"/>
      <c r="Q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H898" s="22"/>
      <c r="AI898" s="22"/>
      <c r="AJ898" s="22"/>
      <c r="AK898" s="22"/>
    </row>
    <row r="899" spans="1:37" ht="15.75" customHeight="1" x14ac:dyDescent="0.25">
      <c r="A899" s="22"/>
      <c r="B899" s="22"/>
      <c r="C899" s="22"/>
      <c r="D899" s="22"/>
      <c r="E899" s="22"/>
      <c r="H899" s="22"/>
      <c r="I899" s="22"/>
      <c r="J899" s="22"/>
      <c r="K899" s="22"/>
      <c r="N899" s="22"/>
      <c r="O899" s="22"/>
      <c r="P899" s="22"/>
      <c r="Q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H899" s="22"/>
      <c r="AI899" s="22"/>
      <c r="AJ899" s="22"/>
      <c r="AK899" s="22"/>
    </row>
    <row r="900" spans="1:37" ht="15.75" customHeight="1" x14ac:dyDescent="0.25">
      <c r="A900" s="22"/>
      <c r="B900" s="22"/>
      <c r="C900" s="22"/>
      <c r="D900" s="22"/>
      <c r="E900" s="22"/>
      <c r="H900" s="22"/>
      <c r="I900" s="22"/>
      <c r="J900" s="22"/>
      <c r="K900" s="22"/>
      <c r="N900" s="22"/>
      <c r="O900" s="22"/>
      <c r="P900" s="22"/>
      <c r="Q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H900" s="22"/>
      <c r="AI900" s="22"/>
      <c r="AJ900" s="22"/>
      <c r="AK900" s="22"/>
    </row>
    <row r="901" spans="1:37" ht="15.75" customHeight="1" x14ac:dyDescent="0.25">
      <c r="A901" s="22"/>
      <c r="B901" s="22"/>
      <c r="C901" s="22"/>
      <c r="D901" s="22"/>
      <c r="E901" s="22"/>
      <c r="H901" s="22"/>
      <c r="I901" s="22"/>
      <c r="J901" s="22"/>
      <c r="K901" s="22"/>
      <c r="N901" s="22"/>
      <c r="O901" s="22"/>
      <c r="P901" s="22"/>
      <c r="Q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H901" s="22"/>
      <c r="AI901" s="22"/>
      <c r="AJ901" s="22"/>
      <c r="AK901" s="22"/>
    </row>
    <row r="902" spans="1:37" ht="15.75" customHeight="1" x14ac:dyDescent="0.25">
      <c r="A902" s="22"/>
      <c r="B902" s="22"/>
      <c r="C902" s="22"/>
      <c r="D902" s="22"/>
      <c r="E902" s="22"/>
      <c r="H902" s="22"/>
      <c r="I902" s="22"/>
      <c r="J902" s="22"/>
      <c r="K902" s="22"/>
      <c r="N902" s="22"/>
      <c r="O902" s="22"/>
      <c r="P902" s="22"/>
      <c r="Q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H902" s="22"/>
      <c r="AI902" s="22"/>
      <c r="AJ902" s="22"/>
      <c r="AK902" s="22"/>
    </row>
    <row r="903" spans="1:37" ht="15.75" customHeight="1" x14ac:dyDescent="0.25">
      <c r="A903" s="22"/>
      <c r="B903" s="22"/>
      <c r="C903" s="22"/>
      <c r="D903" s="22"/>
      <c r="E903" s="22"/>
      <c r="H903" s="22"/>
      <c r="I903" s="22"/>
      <c r="J903" s="22"/>
      <c r="K903" s="22"/>
      <c r="N903" s="22"/>
      <c r="O903" s="22"/>
      <c r="P903" s="22"/>
      <c r="Q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H903" s="22"/>
      <c r="AI903" s="22"/>
      <c r="AJ903" s="22"/>
      <c r="AK903" s="22"/>
    </row>
    <row r="904" spans="1:37" ht="15.75" customHeight="1" x14ac:dyDescent="0.25">
      <c r="A904" s="22"/>
      <c r="B904" s="22"/>
      <c r="C904" s="22"/>
      <c r="D904" s="22"/>
      <c r="E904" s="22"/>
      <c r="H904" s="22"/>
      <c r="I904" s="22"/>
      <c r="J904" s="22"/>
      <c r="K904" s="22"/>
      <c r="N904" s="22"/>
      <c r="O904" s="22"/>
      <c r="P904" s="22"/>
      <c r="Q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H904" s="22"/>
      <c r="AI904" s="22"/>
      <c r="AJ904" s="22"/>
      <c r="AK904" s="22"/>
    </row>
  </sheetData>
  <mergeCells count="72">
    <mergeCell ref="AB20:AG20"/>
    <mergeCell ref="B21:C21"/>
    <mergeCell ref="D21:I21"/>
    <mergeCell ref="V21:AA21"/>
    <mergeCell ref="AB21:AG21"/>
    <mergeCell ref="B20:C20"/>
    <mergeCell ref="D20:I20"/>
    <mergeCell ref="V20:AA20"/>
    <mergeCell ref="B18:C18"/>
    <mergeCell ref="D18:I18"/>
    <mergeCell ref="V18:AA18"/>
    <mergeCell ref="AB18:AG18"/>
    <mergeCell ref="B19:C19"/>
    <mergeCell ref="D19:I19"/>
    <mergeCell ref="V19:AA19"/>
    <mergeCell ref="AB19:AG19"/>
    <mergeCell ref="J18:L18"/>
    <mergeCell ref="P18:R18"/>
    <mergeCell ref="AB16:AD16"/>
    <mergeCell ref="B17:C17"/>
    <mergeCell ref="D17:I17"/>
    <mergeCell ref="J17:L17"/>
    <mergeCell ref="V17:AA17"/>
    <mergeCell ref="AB17:AG17"/>
    <mergeCell ref="B16:C16"/>
    <mergeCell ref="D16:F16"/>
    <mergeCell ref="V16:AA16"/>
    <mergeCell ref="P17:R17"/>
    <mergeCell ref="V13:AA13"/>
    <mergeCell ref="AB13:AG13"/>
    <mergeCell ref="AH13:AM13"/>
    <mergeCell ref="B15:C15"/>
    <mergeCell ref="D15:F15"/>
    <mergeCell ref="V15:X15"/>
    <mergeCell ref="AB15:AD15"/>
    <mergeCell ref="A13:A14"/>
    <mergeCell ref="B13:C14"/>
    <mergeCell ref="D13:I13"/>
    <mergeCell ref="J13:O13"/>
    <mergeCell ref="P13:U13"/>
    <mergeCell ref="B10:C10"/>
    <mergeCell ref="AB10:AG10"/>
    <mergeCell ref="B11:C11"/>
    <mergeCell ref="D11:U11"/>
    <mergeCell ref="V11:X11"/>
    <mergeCell ref="AB11:AG11"/>
    <mergeCell ref="D10:F10"/>
    <mergeCell ref="P10:U10"/>
    <mergeCell ref="V10:X10"/>
    <mergeCell ref="B8:C8"/>
    <mergeCell ref="AB8:AG8"/>
    <mergeCell ref="B9:C9"/>
    <mergeCell ref="P9:U9"/>
    <mergeCell ref="AB9:AG9"/>
    <mergeCell ref="B6:C6"/>
    <mergeCell ref="AB6:AG6"/>
    <mergeCell ref="B7:C7"/>
    <mergeCell ref="J7:L7"/>
    <mergeCell ref="AB7:AG7"/>
    <mergeCell ref="B4:C4"/>
    <mergeCell ref="AB4:AG4"/>
    <mergeCell ref="B5:C5"/>
    <mergeCell ref="P5:U5"/>
    <mergeCell ref="AB5:AD5"/>
    <mergeCell ref="B1:AK1"/>
    <mergeCell ref="A2:A3"/>
    <mergeCell ref="B2:C3"/>
    <mergeCell ref="D2:I2"/>
    <mergeCell ref="J2:O2"/>
    <mergeCell ref="P2:U2"/>
    <mergeCell ref="V2:AA2"/>
    <mergeCell ref="AB2:AG2"/>
  </mergeCells>
  <printOptions horizontalCentered="1"/>
  <pageMargins left="0.25" right="0" top="0.25" bottom="0.25" header="0.511811023622047" footer="0.3"/>
  <pageSetup paperSize="9" scale="50" orientation="landscape" horizontalDpi="300" verticalDpi="300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7"/>
  <sheetViews>
    <sheetView topLeftCell="A3" zoomScaleNormal="100" workbookViewId="0">
      <selection activeCell="I9" sqref="I9"/>
    </sheetView>
  </sheetViews>
  <sheetFormatPr defaultColWidth="8.625" defaultRowHeight="14.25" x14ac:dyDescent="0.2"/>
  <cols>
    <col min="1" max="1" width="4.375" customWidth="1"/>
    <col min="2" max="2" width="12.75" customWidth="1"/>
    <col min="3" max="3" width="8" customWidth="1"/>
    <col min="4" max="4" width="7.875" customWidth="1"/>
    <col min="5" max="5" width="10.875" customWidth="1"/>
    <col min="6" max="6" width="7.25" customWidth="1"/>
    <col min="7" max="7" width="8" customWidth="1"/>
    <col min="8" max="8" width="9.625" customWidth="1"/>
    <col min="9" max="9" width="9.125" customWidth="1"/>
    <col min="10" max="10" width="8" customWidth="1"/>
    <col min="11" max="11" width="10.875" customWidth="1"/>
    <col min="12" max="12" width="8.875" customWidth="1"/>
    <col min="13" max="13" width="8" customWidth="1"/>
    <col min="14" max="14" width="9.625" customWidth="1"/>
    <col min="15" max="15" width="9.375" customWidth="1"/>
    <col min="16" max="16" width="7.125" customWidth="1"/>
    <col min="17" max="17" width="8.75" customWidth="1"/>
    <col min="18" max="18" width="7.25" customWidth="1"/>
    <col min="19" max="19" width="8" customWidth="1"/>
    <col min="20" max="20" width="8.875" customWidth="1"/>
    <col min="21" max="21" width="9.125" customWidth="1"/>
    <col min="22" max="22" width="7.25" customWidth="1"/>
    <col min="23" max="23" width="10.25" customWidth="1"/>
    <col min="24" max="24" width="5.75" customWidth="1"/>
    <col min="25" max="25" width="8" customWidth="1"/>
    <col min="26" max="26" width="9.625" customWidth="1"/>
  </cols>
  <sheetData>
    <row r="1" spans="1:26" ht="73.5" customHeight="1" x14ac:dyDescent="0.2">
      <c r="A1" s="108" t="s">
        <v>112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32.25" customHeight="1" x14ac:dyDescent="0.2">
      <c r="A2" s="109" t="s">
        <v>38</v>
      </c>
      <c r="B2" s="109" t="s">
        <v>113</v>
      </c>
      <c r="C2" s="110" t="s">
        <v>114</v>
      </c>
      <c r="D2" s="110"/>
      <c r="E2" s="110"/>
      <c r="F2" s="110"/>
      <c r="G2" s="110"/>
      <c r="H2" s="110"/>
      <c r="I2" s="110" t="s">
        <v>115</v>
      </c>
      <c r="J2" s="110"/>
      <c r="K2" s="110"/>
      <c r="L2" s="110"/>
      <c r="M2" s="110"/>
      <c r="N2" s="110"/>
      <c r="O2" s="110" t="s">
        <v>116</v>
      </c>
      <c r="P2" s="110"/>
      <c r="Q2" s="110"/>
      <c r="R2" s="110"/>
      <c r="S2" s="110"/>
      <c r="T2" s="110"/>
      <c r="U2" s="110" t="s">
        <v>117</v>
      </c>
      <c r="V2" s="110"/>
      <c r="W2" s="110"/>
      <c r="X2" s="110"/>
      <c r="Y2" s="110"/>
      <c r="Z2" s="110"/>
    </row>
    <row r="3" spans="1:26" ht="32.25" customHeight="1" x14ac:dyDescent="0.2">
      <c r="A3" s="109"/>
      <c r="B3" s="109"/>
      <c r="C3" s="110" t="s">
        <v>118</v>
      </c>
      <c r="D3" s="110"/>
      <c r="E3" s="110"/>
      <c r="F3" s="110" t="s">
        <v>119</v>
      </c>
      <c r="G3" s="110"/>
      <c r="H3" s="110"/>
      <c r="I3" s="110" t="s">
        <v>118</v>
      </c>
      <c r="J3" s="110"/>
      <c r="K3" s="110"/>
      <c r="L3" s="110" t="s">
        <v>119</v>
      </c>
      <c r="M3" s="110"/>
      <c r="N3" s="110"/>
      <c r="O3" s="110" t="s">
        <v>118</v>
      </c>
      <c r="P3" s="110"/>
      <c r="Q3" s="110"/>
      <c r="R3" s="110" t="s">
        <v>119</v>
      </c>
      <c r="S3" s="110"/>
      <c r="T3" s="110"/>
      <c r="U3" s="110" t="s">
        <v>118</v>
      </c>
      <c r="V3" s="110"/>
      <c r="W3" s="110"/>
      <c r="X3" s="110" t="s">
        <v>119</v>
      </c>
      <c r="Y3" s="110"/>
      <c r="Z3" s="110"/>
    </row>
    <row r="4" spans="1:26" s="14" customFormat="1" ht="81.75" customHeight="1" x14ac:dyDescent="0.2">
      <c r="A4" s="109"/>
      <c r="B4" s="109"/>
      <c r="C4" s="111" t="s">
        <v>118</v>
      </c>
      <c r="D4" s="111" t="s">
        <v>120</v>
      </c>
      <c r="E4" s="111" t="s">
        <v>121</v>
      </c>
      <c r="F4" s="111" t="s">
        <v>122</v>
      </c>
      <c r="G4" s="111" t="s">
        <v>123</v>
      </c>
      <c r="H4" s="111" t="s">
        <v>124</v>
      </c>
      <c r="I4" s="111" t="s">
        <v>118</v>
      </c>
      <c r="J4" s="111" t="s">
        <v>120</v>
      </c>
      <c r="K4" s="111" t="s">
        <v>121</v>
      </c>
      <c r="L4" s="111" t="s">
        <v>122</v>
      </c>
      <c r="M4" s="111" t="s">
        <v>123</v>
      </c>
      <c r="N4" s="111" t="s">
        <v>124</v>
      </c>
      <c r="O4" s="111" t="s">
        <v>118</v>
      </c>
      <c r="P4" s="111" t="s">
        <v>120</v>
      </c>
      <c r="Q4" s="111" t="s">
        <v>121</v>
      </c>
      <c r="R4" s="111" t="s">
        <v>122</v>
      </c>
      <c r="S4" s="111" t="s">
        <v>123</v>
      </c>
      <c r="T4" s="111" t="s">
        <v>124</v>
      </c>
      <c r="U4" s="111" t="s">
        <v>125</v>
      </c>
      <c r="V4" s="111" t="s">
        <v>120</v>
      </c>
      <c r="W4" s="111" t="s">
        <v>121</v>
      </c>
      <c r="X4" s="111" t="s">
        <v>122</v>
      </c>
      <c r="Y4" s="111" t="s">
        <v>123</v>
      </c>
      <c r="Z4" s="111" t="s">
        <v>124</v>
      </c>
    </row>
    <row r="5" spans="1:26" s="18" customFormat="1" ht="30" customHeight="1" x14ac:dyDescent="0.2">
      <c r="A5" s="112">
        <v>1</v>
      </c>
      <c r="B5" s="113" t="s">
        <v>13</v>
      </c>
      <c r="C5" s="113">
        <v>11</v>
      </c>
      <c r="D5" s="112">
        <v>16</v>
      </c>
      <c r="E5" s="113" t="s">
        <v>126</v>
      </c>
      <c r="F5" s="113">
        <v>132</v>
      </c>
      <c r="G5" s="112">
        <v>57</v>
      </c>
      <c r="H5" s="114">
        <f t="shared" ref="H5:H17" si="0">G5/F5</f>
        <v>0.43181818181818182</v>
      </c>
      <c r="I5" s="113">
        <v>2</v>
      </c>
      <c r="J5" s="113">
        <v>11</v>
      </c>
      <c r="K5" s="115" t="s">
        <v>127</v>
      </c>
      <c r="L5" s="116">
        <v>48</v>
      </c>
      <c r="M5" s="116">
        <v>29</v>
      </c>
      <c r="N5" s="114">
        <f t="shared" ref="N5:N17" si="1">M5/L5</f>
        <v>0.60416666666666663</v>
      </c>
      <c r="O5" s="113">
        <v>2</v>
      </c>
      <c r="P5" s="112">
        <v>11</v>
      </c>
      <c r="Q5" s="113" t="s">
        <v>127</v>
      </c>
      <c r="R5" s="113">
        <v>36</v>
      </c>
      <c r="S5" s="112">
        <v>45</v>
      </c>
      <c r="T5" s="114">
        <f t="shared" ref="T5:T17" si="2">S5/R5</f>
        <v>1.25</v>
      </c>
      <c r="U5" s="113">
        <v>4</v>
      </c>
      <c r="V5" s="112">
        <v>8</v>
      </c>
      <c r="W5" s="113" t="s">
        <v>128</v>
      </c>
      <c r="X5" s="112">
        <v>36</v>
      </c>
      <c r="Y5" s="112">
        <v>35</v>
      </c>
      <c r="Z5" s="114">
        <f t="shared" ref="Z5:Z17" si="3">Y5/X5</f>
        <v>0.97222222222222221</v>
      </c>
    </row>
    <row r="6" spans="1:26" s="52" customFormat="1" ht="75" customHeight="1" x14ac:dyDescent="0.2">
      <c r="A6" s="117">
        <v>2</v>
      </c>
      <c r="B6" s="118" t="s">
        <v>28</v>
      </c>
      <c r="C6" s="118">
        <v>3</v>
      </c>
      <c r="D6" s="117">
        <v>3</v>
      </c>
      <c r="E6" s="118" t="s">
        <v>27</v>
      </c>
      <c r="F6" s="118">
        <v>36</v>
      </c>
      <c r="G6" s="117">
        <v>14</v>
      </c>
      <c r="H6" s="119">
        <f t="shared" si="0"/>
        <v>0.3888888888888889</v>
      </c>
      <c r="I6" s="118">
        <v>1</v>
      </c>
      <c r="J6" s="117">
        <v>2</v>
      </c>
      <c r="K6" s="118" t="s">
        <v>23</v>
      </c>
      <c r="L6" s="118">
        <v>12</v>
      </c>
      <c r="M6" s="117">
        <v>6</v>
      </c>
      <c r="N6" s="119">
        <f t="shared" si="1"/>
        <v>0.5</v>
      </c>
      <c r="O6" s="118">
        <v>1</v>
      </c>
      <c r="P6" s="117">
        <v>2</v>
      </c>
      <c r="Q6" s="118" t="s">
        <v>23</v>
      </c>
      <c r="R6" s="118">
        <v>12</v>
      </c>
      <c r="S6" s="117">
        <v>7</v>
      </c>
      <c r="T6" s="119">
        <f t="shared" si="2"/>
        <v>0.58333333333333337</v>
      </c>
      <c r="U6" s="118">
        <v>1</v>
      </c>
      <c r="V6" s="117">
        <v>3</v>
      </c>
      <c r="W6" s="118" t="s">
        <v>23</v>
      </c>
      <c r="X6" s="117">
        <v>12</v>
      </c>
      <c r="Y6" s="117">
        <v>6</v>
      </c>
      <c r="Z6" s="119">
        <f t="shared" si="3"/>
        <v>0.5</v>
      </c>
    </row>
    <row r="7" spans="1:26" s="50" customFormat="1" ht="30" customHeight="1" x14ac:dyDescent="0.2">
      <c r="A7" s="112">
        <v>3</v>
      </c>
      <c r="B7" s="113" t="s">
        <v>29</v>
      </c>
      <c r="C7" s="113">
        <v>2</v>
      </c>
      <c r="D7" s="112">
        <v>4</v>
      </c>
      <c r="E7" s="113" t="s">
        <v>128</v>
      </c>
      <c r="F7" s="113">
        <v>24</v>
      </c>
      <c r="G7" s="112">
        <v>13</v>
      </c>
      <c r="H7" s="114">
        <f t="shared" si="0"/>
        <v>0.54166666666666663</v>
      </c>
      <c r="I7" s="113">
        <v>1</v>
      </c>
      <c r="J7" s="112">
        <v>2</v>
      </c>
      <c r="K7" s="112" t="s">
        <v>128</v>
      </c>
      <c r="L7" s="113">
        <v>12</v>
      </c>
      <c r="M7" s="112">
        <v>6</v>
      </c>
      <c r="N7" s="114">
        <f t="shared" si="1"/>
        <v>0.5</v>
      </c>
      <c r="O7" s="113">
        <v>1</v>
      </c>
      <c r="P7" s="112">
        <v>2</v>
      </c>
      <c r="Q7" s="113" t="s">
        <v>128</v>
      </c>
      <c r="R7" s="113">
        <v>12</v>
      </c>
      <c r="S7" s="112">
        <v>6</v>
      </c>
      <c r="T7" s="114">
        <f t="shared" si="2"/>
        <v>0.5</v>
      </c>
      <c r="U7" s="113">
        <v>1</v>
      </c>
      <c r="V7" s="112">
        <v>7</v>
      </c>
      <c r="W7" s="113" t="s">
        <v>23</v>
      </c>
      <c r="X7" s="112">
        <v>12</v>
      </c>
      <c r="Y7" s="112">
        <v>11</v>
      </c>
      <c r="Z7" s="114">
        <f t="shared" si="3"/>
        <v>0.91666666666666663</v>
      </c>
    </row>
    <row r="8" spans="1:26" s="52" customFormat="1" ht="30" customHeight="1" x14ac:dyDescent="0.2">
      <c r="A8" s="117">
        <v>4</v>
      </c>
      <c r="B8" s="118" t="s">
        <v>22</v>
      </c>
      <c r="C8" s="118">
        <v>4</v>
      </c>
      <c r="D8" s="117">
        <v>6</v>
      </c>
      <c r="E8" s="118" t="s">
        <v>23</v>
      </c>
      <c r="F8" s="118">
        <v>48</v>
      </c>
      <c r="G8" s="117">
        <v>25</v>
      </c>
      <c r="H8" s="119">
        <f t="shared" si="0"/>
        <v>0.52083333333333337</v>
      </c>
      <c r="I8" s="118">
        <v>1</v>
      </c>
      <c r="J8" s="117">
        <v>1</v>
      </c>
      <c r="K8" s="117" t="s">
        <v>128</v>
      </c>
      <c r="L8" s="118">
        <v>12</v>
      </c>
      <c r="M8" s="117">
        <v>5</v>
      </c>
      <c r="N8" s="119">
        <f t="shared" si="1"/>
        <v>0.41666666666666669</v>
      </c>
      <c r="O8" s="118">
        <v>1</v>
      </c>
      <c r="P8" s="117">
        <v>3</v>
      </c>
      <c r="Q8" s="118" t="s">
        <v>23</v>
      </c>
      <c r="R8" s="118">
        <v>12</v>
      </c>
      <c r="S8" s="117">
        <v>8</v>
      </c>
      <c r="T8" s="119">
        <f t="shared" si="2"/>
        <v>0.66666666666666663</v>
      </c>
      <c r="U8" s="118">
        <v>1</v>
      </c>
      <c r="V8" s="117">
        <v>4</v>
      </c>
      <c r="W8" s="118" t="s">
        <v>23</v>
      </c>
      <c r="X8" s="117">
        <v>12</v>
      </c>
      <c r="Y8" s="117">
        <v>6</v>
      </c>
      <c r="Z8" s="119">
        <f t="shared" si="3"/>
        <v>0.5</v>
      </c>
    </row>
    <row r="9" spans="1:26" s="50" customFormat="1" ht="30" customHeight="1" x14ac:dyDescent="0.2">
      <c r="A9" s="112">
        <v>5</v>
      </c>
      <c r="B9" s="113" t="s">
        <v>18</v>
      </c>
      <c r="C9" s="113">
        <v>10</v>
      </c>
      <c r="D9" s="112">
        <v>5</v>
      </c>
      <c r="E9" s="113" t="s">
        <v>58</v>
      </c>
      <c r="F9" s="113">
        <v>120</v>
      </c>
      <c r="G9" s="112">
        <v>30</v>
      </c>
      <c r="H9" s="114">
        <f t="shared" si="0"/>
        <v>0.25</v>
      </c>
      <c r="I9" s="113">
        <v>3</v>
      </c>
      <c r="J9" s="112">
        <v>4</v>
      </c>
      <c r="K9" s="118" t="s">
        <v>23</v>
      </c>
      <c r="L9" s="113">
        <v>36</v>
      </c>
      <c r="M9" s="112">
        <v>10</v>
      </c>
      <c r="N9" s="114">
        <f t="shared" si="1"/>
        <v>0.27777777777777779</v>
      </c>
      <c r="O9" s="113">
        <v>3</v>
      </c>
      <c r="P9" s="120">
        <v>4</v>
      </c>
      <c r="Q9" s="113" t="s">
        <v>56</v>
      </c>
      <c r="R9" s="113">
        <v>36</v>
      </c>
      <c r="S9" s="112">
        <v>17</v>
      </c>
      <c r="T9" s="114">
        <f t="shared" si="2"/>
        <v>0.47222222222222221</v>
      </c>
      <c r="U9" s="113">
        <v>3</v>
      </c>
      <c r="V9" s="112">
        <v>15</v>
      </c>
      <c r="W9" s="113" t="s">
        <v>129</v>
      </c>
      <c r="X9" s="112">
        <v>36</v>
      </c>
      <c r="Y9" s="112">
        <v>19</v>
      </c>
      <c r="Z9" s="114">
        <f t="shared" si="3"/>
        <v>0.52777777777777779</v>
      </c>
    </row>
    <row r="10" spans="1:26" s="50" customFormat="1" ht="30" customHeight="1" x14ac:dyDescent="0.2">
      <c r="A10" s="112">
        <v>6</v>
      </c>
      <c r="B10" s="113" t="s">
        <v>25</v>
      </c>
      <c r="C10" s="113">
        <v>4</v>
      </c>
      <c r="D10" s="112">
        <v>4</v>
      </c>
      <c r="E10" s="113" t="s">
        <v>27</v>
      </c>
      <c r="F10" s="113">
        <v>48</v>
      </c>
      <c r="G10" s="112">
        <v>38</v>
      </c>
      <c r="H10" s="114">
        <f t="shared" si="0"/>
        <v>0.79166666666666663</v>
      </c>
      <c r="I10" s="113">
        <v>1</v>
      </c>
      <c r="J10" s="112">
        <v>2</v>
      </c>
      <c r="K10" s="113" t="s">
        <v>23</v>
      </c>
      <c r="L10" s="113">
        <v>12</v>
      </c>
      <c r="M10" s="112">
        <v>8</v>
      </c>
      <c r="N10" s="114">
        <f t="shared" si="1"/>
        <v>0.66666666666666663</v>
      </c>
      <c r="O10" s="113">
        <v>1</v>
      </c>
      <c r="P10" s="112">
        <v>2</v>
      </c>
      <c r="Q10" s="118" t="s">
        <v>23</v>
      </c>
      <c r="R10" s="113">
        <v>12</v>
      </c>
      <c r="S10" s="112">
        <v>8</v>
      </c>
      <c r="T10" s="114">
        <f t="shared" si="2"/>
        <v>0.66666666666666663</v>
      </c>
      <c r="U10" s="113">
        <v>1</v>
      </c>
      <c r="V10" s="112">
        <v>1</v>
      </c>
      <c r="W10" s="113" t="s">
        <v>27</v>
      </c>
      <c r="X10" s="112">
        <v>12</v>
      </c>
      <c r="Y10" s="112">
        <v>11</v>
      </c>
      <c r="Z10" s="114">
        <f t="shared" si="3"/>
        <v>0.91666666666666663</v>
      </c>
    </row>
    <row r="11" spans="1:26" s="52" customFormat="1" ht="30" customHeight="1" x14ac:dyDescent="0.2">
      <c r="A11" s="117">
        <v>7</v>
      </c>
      <c r="B11" s="118" t="s">
        <v>55</v>
      </c>
      <c r="C11" s="118">
        <v>1</v>
      </c>
      <c r="D11" s="117">
        <v>2</v>
      </c>
      <c r="E11" s="118" t="s">
        <v>128</v>
      </c>
      <c r="F11" s="118">
        <v>12</v>
      </c>
      <c r="G11" s="117">
        <v>9</v>
      </c>
      <c r="H11" s="119">
        <f t="shared" si="0"/>
        <v>0.75</v>
      </c>
      <c r="I11" s="118">
        <v>1</v>
      </c>
      <c r="J11" s="117">
        <v>1</v>
      </c>
      <c r="K11" s="117" t="s">
        <v>143</v>
      </c>
      <c r="L11" s="118">
        <v>12</v>
      </c>
      <c r="M11" s="117">
        <v>4</v>
      </c>
      <c r="N11" s="119">
        <f t="shared" si="1"/>
        <v>0.33333333333333331</v>
      </c>
      <c r="O11" s="118">
        <v>1</v>
      </c>
      <c r="P11" s="117">
        <v>1</v>
      </c>
      <c r="Q11" s="118" t="s">
        <v>27</v>
      </c>
      <c r="R11" s="118">
        <v>12</v>
      </c>
      <c r="S11" s="117">
        <v>3</v>
      </c>
      <c r="T11" s="119">
        <f t="shared" si="2"/>
        <v>0.25</v>
      </c>
      <c r="U11" s="118">
        <v>2</v>
      </c>
      <c r="V11" s="117">
        <v>9</v>
      </c>
      <c r="W11" s="118" t="s">
        <v>131</v>
      </c>
      <c r="X11" s="117">
        <v>12</v>
      </c>
      <c r="Y11" s="117">
        <v>16</v>
      </c>
      <c r="Z11" s="119">
        <f t="shared" si="3"/>
        <v>1.3333333333333333</v>
      </c>
    </row>
    <row r="12" spans="1:26" s="50" customFormat="1" ht="30" customHeight="1" x14ac:dyDescent="0.2">
      <c r="A12" s="112">
        <v>8</v>
      </c>
      <c r="B12" s="113" t="s">
        <v>132</v>
      </c>
      <c r="C12" s="113">
        <v>5</v>
      </c>
      <c r="D12" s="112">
        <v>14</v>
      </c>
      <c r="E12" s="113" t="s">
        <v>23</v>
      </c>
      <c r="F12" s="113">
        <v>60</v>
      </c>
      <c r="G12" s="112">
        <v>36</v>
      </c>
      <c r="H12" s="114">
        <f t="shared" si="0"/>
        <v>0.6</v>
      </c>
      <c r="I12" s="113">
        <v>3</v>
      </c>
      <c r="J12" s="112">
        <v>1</v>
      </c>
      <c r="K12" s="113" t="s">
        <v>59</v>
      </c>
      <c r="L12" s="113">
        <v>36</v>
      </c>
      <c r="M12" s="112">
        <v>6</v>
      </c>
      <c r="N12" s="114">
        <f t="shared" si="1"/>
        <v>0.16666666666666666</v>
      </c>
      <c r="O12" s="113">
        <v>3</v>
      </c>
      <c r="P12" s="112">
        <v>2</v>
      </c>
      <c r="Q12" s="113" t="s">
        <v>59</v>
      </c>
      <c r="R12" s="113">
        <v>36</v>
      </c>
      <c r="S12" s="112">
        <v>8</v>
      </c>
      <c r="T12" s="114">
        <f t="shared" si="2"/>
        <v>0.22222222222222221</v>
      </c>
      <c r="U12" s="113">
        <v>3</v>
      </c>
      <c r="V12" s="112">
        <v>2</v>
      </c>
      <c r="W12" s="113" t="s">
        <v>59</v>
      </c>
      <c r="X12" s="112">
        <v>36</v>
      </c>
      <c r="Y12" s="112">
        <v>9</v>
      </c>
      <c r="Z12" s="114">
        <f t="shared" si="3"/>
        <v>0.25</v>
      </c>
    </row>
    <row r="13" spans="1:26" s="18" customFormat="1" ht="30" customHeight="1" x14ac:dyDescent="0.2">
      <c r="A13" s="112">
        <v>9</v>
      </c>
      <c r="B13" s="113" t="s">
        <v>30</v>
      </c>
      <c r="C13" s="113">
        <v>6</v>
      </c>
      <c r="D13" s="112">
        <v>8</v>
      </c>
      <c r="E13" s="113" t="s">
        <v>23</v>
      </c>
      <c r="F13" s="113">
        <v>72</v>
      </c>
      <c r="G13" s="112">
        <v>24</v>
      </c>
      <c r="H13" s="114">
        <f t="shared" si="0"/>
        <v>0.33333333333333331</v>
      </c>
      <c r="I13" s="113">
        <v>3</v>
      </c>
      <c r="J13" s="112">
        <v>4</v>
      </c>
      <c r="K13" s="113" t="s">
        <v>23</v>
      </c>
      <c r="L13" s="113">
        <v>36</v>
      </c>
      <c r="M13" s="112">
        <v>15</v>
      </c>
      <c r="N13" s="114">
        <f t="shared" si="1"/>
        <v>0.41666666666666669</v>
      </c>
      <c r="O13" s="113">
        <v>4</v>
      </c>
      <c r="P13" s="113">
        <v>4</v>
      </c>
      <c r="Q13" s="113" t="s">
        <v>133</v>
      </c>
      <c r="R13" s="113">
        <v>48</v>
      </c>
      <c r="S13" s="112">
        <v>11</v>
      </c>
      <c r="T13" s="114">
        <f t="shared" si="2"/>
        <v>0.22916666666666666</v>
      </c>
      <c r="U13" s="113">
        <v>3</v>
      </c>
      <c r="V13" s="112">
        <v>6</v>
      </c>
      <c r="W13" s="113" t="s">
        <v>128</v>
      </c>
      <c r="X13" s="112">
        <v>36</v>
      </c>
      <c r="Y13" s="112">
        <v>10</v>
      </c>
      <c r="Z13" s="114">
        <f t="shared" si="3"/>
        <v>0.27777777777777779</v>
      </c>
    </row>
    <row r="14" spans="1:26" s="18" customFormat="1" ht="30" customHeight="1" x14ac:dyDescent="0.2">
      <c r="A14" s="112">
        <v>10</v>
      </c>
      <c r="B14" s="113" t="s">
        <v>134</v>
      </c>
      <c r="C14" s="113">
        <v>1</v>
      </c>
      <c r="D14" s="121">
        <v>1</v>
      </c>
      <c r="E14" s="113" t="s">
        <v>27</v>
      </c>
      <c r="F14" s="113">
        <v>12</v>
      </c>
      <c r="G14" s="112">
        <v>5</v>
      </c>
      <c r="H14" s="114">
        <f t="shared" si="0"/>
        <v>0.41666666666666669</v>
      </c>
      <c r="I14" s="113">
        <v>1</v>
      </c>
      <c r="J14" s="112">
        <v>1</v>
      </c>
      <c r="K14" s="113" t="s">
        <v>27</v>
      </c>
      <c r="L14" s="113">
        <v>12</v>
      </c>
      <c r="M14" s="112">
        <v>3</v>
      </c>
      <c r="N14" s="114">
        <f t="shared" si="1"/>
        <v>0.25</v>
      </c>
      <c r="O14" s="113">
        <v>1</v>
      </c>
      <c r="P14" s="112">
        <v>1</v>
      </c>
      <c r="Q14" s="113" t="s">
        <v>27</v>
      </c>
      <c r="R14" s="113">
        <v>12</v>
      </c>
      <c r="S14" s="112">
        <v>3</v>
      </c>
      <c r="T14" s="114">
        <f t="shared" si="2"/>
        <v>0.25</v>
      </c>
      <c r="U14" s="113">
        <v>1</v>
      </c>
      <c r="V14" s="112">
        <v>1</v>
      </c>
      <c r="W14" s="113" t="s">
        <v>27</v>
      </c>
      <c r="X14" s="113">
        <v>12</v>
      </c>
      <c r="Y14" s="112">
        <v>3</v>
      </c>
      <c r="Z14" s="114">
        <f t="shared" si="3"/>
        <v>0.25</v>
      </c>
    </row>
    <row r="15" spans="1:26" s="18" customFormat="1" ht="30" customHeight="1" x14ac:dyDescent="0.2">
      <c r="A15" s="112">
        <v>11</v>
      </c>
      <c r="B15" s="113" t="s">
        <v>135</v>
      </c>
      <c r="C15" s="113">
        <v>1</v>
      </c>
      <c r="D15" s="112">
        <v>1</v>
      </c>
      <c r="E15" s="113" t="s">
        <v>27</v>
      </c>
      <c r="F15" s="113">
        <v>12</v>
      </c>
      <c r="G15" s="112">
        <v>5</v>
      </c>
      <c r="H15" s="114">
        <f t="shared" si="0"/>
        <v>0.41666666666666669</v>
      </c>
      <c r="I15" s="113">
        <v>1</v>
      </c>
      <c r="J15" s="112">
        <v>2</v>
      </c>
      <c r="K15" s="112" t="s">
        <v>130</v>
      </c>
      <c r="L15" s="113">
        <v>12</v>
      </c>
      <c r="M15" s="112">
        <v>5</v>
      </c>
      <c r="N15" s="114">
        <f t="shared" si="1"/>
        <v>0.41666666666666669</v>
      </c>
      <c r="O15" s="113">
        <v>1</v>
      </c>
      <c r="P15" s="112">
        <v>2</v>
      </c>
      <c r="Q15" s="113" t="s">
        <v>130</v>
      </c>
      <c r="R15" s="113">
        <v>12</v>
      </c>
      <c r="S15" s="112">
        <v>6</v>
      </c>
      <c r="T15" s="114">
        <f t="shared" si="2"/>
        <v>0.5</v>
      </c>
      <c r="U15" s="113">
        <v>1</v>
      </c>
      <c r="V15" s="112">
        <v>1</v>
      </c>
      <c r="W15" s="113" t="s">
        <v>128</v>
      </c>
      <c r="X15" s="112">
        <v>12</v>
      </c>
      <c r="Y15" s="112">
        <v>5</v>
      </c>
      <c r="Z15" s="114">
        <f t="shared" si="3"/>
        <v>0.41666666666666669</v>
      </c>
    </row>
    <row r="16" spans="1:26" s="18" customFormat="1" ht="30" customHeight="1" x14ac:dyDescent="0.2">
      <c r="A16" s="112">
        <v>12</v>
      </c>
      <c r="B16" s="113" t="s">
        <v>136</v>
      </c>
      <c r="C16" s="113">
        <v>2</v>
      </c>
      <c r="D16" s="112">
        <v>2</v>
      </c>
      <c r="E16" s="113" t="s">
        <v>27</v>
      </c>
      <c r="F16" s="113">
        <v>24</v>
      </c>
      <c r="G16" s="112">
        <v>7</v>
      </c>
      <c r="H16" s="114">
        <f t="shared" si="0"/>
        <v>0.29166666666666669</v>
      </c>
      <c r="I16" s="113">
        <v>1</v>
      </c>
      <c r="J16" s="112">
        <v>1</v>
      </c>
      <c r="K16" s="112" t="s">
        <v>27</v>
      </c>
      <c r="L16" s="113">
        <v>12</v>
      </c>
      <c r="M16" s="112">
        <v>4</v>
      </c>
      <c r="N16" s="114">
        <f t="shared" si="1"/>
        <v>0.33333333333333331</v>
      </c>
      <c r="O16" s="113">
        <v>1</v>
      </c>
      <c r="P16" s="112">
        <v>2</v>
      </c>
      <c r="Q16" s="113" t="s">
        <v>128</v>
      </c>
      <c r="R16" s="113">
        <v>12</v>
      </c>
      <c r="S16" s="112">
        <v>4</v>
      </c>
      <c r="T16" s="114">
        <f t="shared" si="2"/>
        <v>0.33333333333333331</v>
      </c>
      <c r="U16" s="113">
        <v>1</v>
      </c>
      <c r="V16" s="112">
        <v>1</v>
      </c>
      <c r="W16" s="113" t="s">
        <v>27</v>
      </c>
      <c r="X16" s="113">
        <v>12</v>
      </c>
      <c r="Y16" s="112">
        <v>3</v>
      </c>
      <c r="Z16" s="114">
        <f t="shared" si="3"/>
        <v>0.25</v>
      </c>
    </row>
    <row r="17" spans="1:26" s="18" customFormat="1" ht="30" customHeight="1" x14ac:dyDescent="0.2">
      <c r="A17" s="112">
        <v>13</v>
      </c>
      <c r="B17" s="113" t="s">
        <v>137</v>
      </c>
      <c r="C17" s="113">
        <v>25</v>
      </c>
      <c r="D17" s="113">
        <v>29</v>
      </c>
      <c r="E17" s="115" t="s">
        <v>138</v>
      </c>
      <c r="F17" s="113">
        <v>300</v>
      </c>
      <c r="G17" s="112">
        <v>117</v>
      </c>
      <c r="H17" s="114">
        <f t="shared" si="0"/>
        <v>0.39</v>
      </c>
      <c r="I17" s="113">
        <v>4</v>
      </c>
      <c r="J17" s="113">
        <v>15</v>
      </c>
      <c r="K17" s="112" t="s">
        <v>139</v>
      </c>
      <c r="L17" s="113">
        <v>48</v>
      </c>
      <c r="M17" s="112">
        <v>48</v>
      </c>
      <c r="N17" s="115">
        <f t="shared" si="1"/>
        <v>1</v>
      </c>
      <c r="O17" s="113">
        <v>4</v>
      </c>
      <c r="P17" s="113">
        <v>15</v>
      </c>
      <c r="Q17" s="115" t="s">
        <v>139</v>
      </c>
      <c r="R17" s="113">
        <v>48</v>
      </c>
      <c r="S17" s="112">
        <v>40</v>
      </c>
      <c r="T17" s="115">
        <f t="shared" si="2"/>
        <v>0.83333333333333337</v>
      </c>
      <c r="U17" s="113">
        <v>4</v>
      </c>
      <c r="V17" s="113">
        <v>11</v>
      </c>
      <c r="W17" s="113" t="s">
        <v>140</v>
      </c>
      <c r="X17" s="112">
        <v>48</v>
      </c>
      <c r="Y17" s="112">
        <v>23</v>
      </c>
      <c r="Z17" s="115">
        <f t="shared" si="3"/>
        <v>0.47916666666666669</v>
      </c>
    </row>
  </sheetData>
  <mergeCells count="15">
    <mergeCell ref="A1:Z1"/>
    <mergeCell ref="A2:A4"/>
    <mergeCell ref="B2:B4"/>
    <mergeCell ref="C2:H2"/>
    <mergeCell ref="I2:N2"/>
    <mergeCell ref="O2:T2"/>
    <mergeCell ref="U2:Z2"/>
    <mergeCell ref="C3:E3"/>
    <mergeCell ref="F3:H3"/>
    <mergeCell ref="I3:K3"/>
    <mergeCell ref="L3:N3"/>
    <mergeCell ref="O3:Q3"/>
    <mergeCell ref="R3:T3"/>
    <mergeCell ref="U3:W3"/>
    <mergeCell ref="X3:Z3"/>
  </mergeCells>
  <printOptions horizontalCentered="1"/>
  <pageMargins left="0.25" right="0" top="0.5" bottom="0.25" header="0.511811023622047" footer="0.511811023622047"/>
  <pageSetup scale="6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Giám sát, Thuế</vt:lpstr>
      <vt:lpstr> STQ, Đào tạo</vt:lpstr>
      <vt:lpstr>V. QLRR</vt:lpstr>
      <vt:lpstr>VI. CBL</vt:lpstr>
      <vt:lpstr>Truyền thông</vt:lpstr>
      <vt:lpstr>'Giám sát, Thuế'!Print_Area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cp:lastPrinted>2026-04-13T01:10:16Z</cp:lastPrinted>
  <dcterms:created xsi:type="dcterms:W3CDTF">2006-09-16T00:00:00Z</dcterms:created>
  <dcterms:modified xsi:type="dcterms:W3CDTF">2026-05-15T09:44:58Z</dcterms:modified>
  <dc:language>en-US</dc:language>
</cp:coreProperties>
</file>