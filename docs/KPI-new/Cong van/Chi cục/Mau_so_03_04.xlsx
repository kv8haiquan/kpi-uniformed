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16380" windowHeight="8190" tabRatio="500" activeTab="3"/>
  </bookViews>
  <sheets>
    <sheet name="Mau 03 - NV trong tam" sheetId="1" r:id="rId1"/>
    <sheet name="Mau 04A - Chi cuc gui Cuc" sheetId="2" r:id="rId2"/>
    <sheet name="Mau 04B - Don vi (quy)" sheetId="3" r:id="rId3"/>
    <sheet name="Mau 04C - Đăng ký, điều chỉnh" sheetId="4" r:id="rId4"/>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K60" i="3" l="1"/>
  <c r="J60" i="3"/>
  <c r="F60" i="3"/>
  <c r="K59" i="3"/>
  <c r="J59" i="3"/>
  <c r="F59" i="3"/>
  <c r="K58" i="3"/>
  <c r="J58" i="3"/>
  <c r="F58" i="3"/>
  <c r="K57" i="3"/>
  <c r="J57" i="3"/>
  <c r="F57" i="3"/>
  <c r="K55" i="3"/>
  <c r="J55" i="3"/>
  <c r="F55" i="3"/>
  <c r="K53" i="3"/>
  <c r="J53" i="3"/>
  <c r="F53" i="3"/>
  <c r="K52" i="3"/>
  <c r="J52" i="3"/>
  <c r="F52" i="3"/>
  <c r="K51" i="3"/>
  <c r="J51" i="3"/>
  <c r="F51" i="3"/>
  <c r="K50" i="3"/>
  <c r="J50" i="3"/>
  <c r="F50" i="3"/>
  <c r="K49" i="3"/>
  <c r="J49" i="3"/>
  <c r="F49" i="3"/>
  <c r="K47" i="3"/>
  <c r="J47" i="3"/>
  <c r="F47" i="3"/>
  <c r="K46" i="3"/>
  <c r="J46" i="3"/>
  <c r="F46" i="3"/>
  <c r="K45" i="3"/>
  <c r="J45" i="3"/>
  <c r="F45" i="3"/>
  <c r="K44" i="3"/>
  <c r="J44" i="3"/>
  <c r="F44" i="3"/>
  <c r="K43" i="3"/>
  <c r="J43" i="3"/>
  <c r="F43" i="3"/>
  <c r="K42" i="3"/>
  <c r="J42" i="3"/>
  <c r="F42" i="3"/>
  <c r="K40" i="3"/>
  <c r="J40" i="3"/>
  <c r="F40" i="3"/>
  <c r="K39" i="3"/>
  <c r="J39" i="3"/>
  <c r="F39" i="3"/>
  <c r="K38" i="3"/>
  <c r="J38" i="3"/>
  <c r="F38" i="3"/>
  <c r="K37" i="3"/>
  <c r="J37" i="3"/>
  <c r="F37" i="3"/>
  <c r="K34" i="3"/>
  <c r="J34" i="3"/>
  <c r="F34" i="3"/>
  <c r="K33" i="3"/>
  <c r="J33" i="3"/>
  <c r="F33" i="3"/>
  <c r="K32" i="3"/>
  <c r="J32" i="3"/>
  <c r="F32" i="3"/>
  <c r="K31" i="3"/>
  <c r="J31" i="3"/>
  <c r="F31" i="3"/>
  <c r="K30" i="3"/>
  <c r="J30" i="3"/>
  <c r="F30" i="3"/>
  <c r="K29" i="3"/>
  <c r="J29" i="3"/>
  <c r="F29" i="3"/>
  <c r="K28" i="3"/>
  <c r="J28" i="3"/>
  <c r="F28" i="3"/>
  <c r="K27" i="3"/>
  <c r="J27" i="3"/>
  <c r="F27" i="3"/>
  <c r="K26" i="3"/>
  <c r="J26" i="3"/>
  <c r="F26" i="3"/>
  <c r="K25" i="3"/>
  <c r="J25" i="3"/>
  <c r="F25" i="3"/>
  <c r="K24" i="3"/>
  <c r="J24" i="3"/>
  <c r="F24" i="3"/>
  <c r="K21" i="3"/>
  <c r="J21" i="3"/>
  <c r="F21" i="3"/>
  <c r="K20" i="3"/>
  <c r="J20" i="3"/>
  <c r="F20" i="3"/>
  <c r="K19" i="3"/>
  <c r="J19" i="3"/>
  <c r="F19" i="3"/>
  <c r="K18" i="3"/>
  <c r="J18" i="3"/>
  <c r="F18" i="3"/>
  <c r="K15" i="3"/>
  <c r="J15" i="3"/>
  <c r="F15" i="3"/>
  <c r="K13" i="3"/>
  <c r="J13" i="3"/>
  <c r="F13" i="3"/>
  <c r="K29" i="2"/>
  <c r="J29" i="2"/>
  <c r="F29" i="2"/>
  <c r="K28" i="2"/>
  <c r="J28" i="2"/>
  <c r="F28" i="2"/>
  <c r="K27" i="2"/>
  <c r="J27" i="2"/>
  <c r="F27" i="2"/>
  <c r="K26" i="2"/>
  <c r="J26" i="2"/>
  <c r="F26" i="2"/>
  <c r="K23" i="2"/>
  <c r="J23" i="2"/>
  <c r="F23" i="2"/>
  <c r="K22" i="2"/>
  <c r="J22" i="2"/>
  <c r="F22" i="2"/>
  <c r="K21" i="2"/>
  <c r="J21" i="2"/>
  <c r="F21" i="2"/>
  <c r="K20" i="2"/>
  <c r="J20" i="2"/>
  <c r="F20" i="2"/>
  <c r="K17" i="2"/>
  <c r="J17" i="2"/>
  <c r="F17" i="2"/>
  <c r="K16" i="2"/>
  <c r="J16" i="2"/>
  <c r="F16" i="2"/>
  <c r="K14" i="2"/>
  <c r="J14" i="2"/>
  <c r="F14" i="2"/>
  <c r="K12" i="2"/>
  <c r="J12" i="2"/>
  <c r="F12" i="2"/>
  <c r="J17" i="1"/>
  <c r="I17" i="1"/>
  <c r="H17" i="1"/>
  <c r="G17" i="1"/>
</calcChain>
</file>

<file path=xl/sharedStrings.xml><?xml version="1.0" encoding="utf-8"?>
<sst xmlns="http://schemas.openxmlformats.org/spreadsheetml/2006/main" count="453" uniqueCount="197">
  <si>
    <t>Mẫu số 03</t>
  </si>
  <si>
    <t>CHI CỤC HẢI QUAN KHU VỰC VIII</t>
  </si>
  <si>
    <t>ĐƠN VỊ:……………………</t>
  </si>
  <si>
    <t>BẢNG TỔNG HỢP KẾT QUẢ THỰC HIỆN CÁC NHIỆM VỤ TRỌNG TÂM</t>
  </si>
  <si>
    <t>DO CÁC CƠ QUAN CÓ THẨM QUYỀN GIAO</t>
  </si>
  <si>
    <t>(Dành cho các Phòng, Đội thuộc Chi cục)</t>
  </si>
  <si>
    <t>Quý ...... năm 2026</t>
  </si>
  <si>
    <t>STT</t>
  </si>
  <si>
    <t>Nhiệm vụ được giao</t>
  </si>
  <si>
    <t>Số, ngày văn bản giao</t>
  </si>
  <si>
    <t>Công việc chi tiết cần hoàn thành trong quý theo Kế hoạch</t>
  </si>
  <si>
    <t>Ngày phải hoàn thành</t>
  </si>
  <si>
    <t>Ngày hoàn thành thực tế</t>
  </si>
  <si>
    <t>Chưa hoàn thành</t>
  </si>
  <si>
    <t>Đánh giá tiến độ hoàn thành (đánh dấu X)</t>
  </si>
  <si>
    <t>Ghi chú</t>
  </si>
  <si>
    <t>Vượt tiến độ</t>
  </si>
  <si>
    <t>Đạt tiến độ</t>
  </si>
  <si>
    <t>Chậm tiến độ</t>
  </si>
  <si>
    <t>(1)</t>
  </si>
  <si>
    <t>(2)</t>
  </si>
  <si>
    <t>(3)</t>
  </si>
  <si>
    <t>(4)</t>
  </si>
  <si>
    <t>(5)</t>
  </si>
  <si>
    <t>(6)</t>
  </si>
  <si>
    <t>(7)</t>
  </si>
  <si>
    <t>(8)</t>
  </si>
  <si>
    <t>(9)</t>
  </si>
  <si>
    <t>(10)</t>
  </si>
  <si>
    <t>(11)</t>
  </si>
  <si>
    <t>1</t>
  </si>
  <si>
    <t>Xây dựng Quy chế quản lý, sử dụng tài sản công của Chi cục</t>
  </si>
  <si>
    <t>Thông báo số .../TB-HQKV8 ngày .....</t>
  </si>
  <si>
    <t>Hoàn thiện, trình ký ban hành Quy chế</t>
  </si>
  <si>
    <t>X</t>
  </si>
  <si>
    <t>Hướng dẫn các đơn vị triển khai văn bản mới về ...</t>
  </si>
  <si>
    <t>Thông báo kết luận số .../TB-HQKV8 ngày .....</t>
  </si>
  <si>
    <t>Trình Lãnh đạo Chi cục ban hành công văn hướng dẫn</t>
  </si>
  <si>
    <t>Rà soát, kiểm tra về ...., báo cáo Lãnh đạo Chi cục trước ngày 30/9</t>
  </si>
  <si>
    <t>Trình Lãnh đạo Chi cục kết quả rà soát, kiểm tra</t>
  </si>
  <si>
    <t>Tổng cộng</t>
  </si>
  <si>
    <t>Ghi chú:</t>
  </si>
  <si>
    <t>- Cột (2): thống kê các nhiệm vụ trong chương trình công tác trọng tâm của Cục Hải quan, của Chi cục; nhiệm vụ do các cơ quan cấp trên có thẩm quyền giao; nhiệm vụ theo Thông báo kết luận của Lãnh đạo Chi cục.</t>
  </si>
  <si>
    <t>- Cột (4): thống kê các công việc có thời hạn hoàn thành trong quý</t>
  </si>
  <si>
    <t>Mẫu số 04A</t>
  </si>
  <si>
    <t xml:space="preserve">               CỤC HẢI QUAN</t>
  </si>
  <si>
    <t>BẢNG KẾT QUẢ THỰC HIỆN CÁC CHỈ TIÊU KẾ HOẠCH CÁC LĨNH VỰC CÔNG TÁC TRỌNG TÂM</t>
  </si>
  <si>
    <t>TT</t>
  </si>
  <si>
    <t>Lĩnh vực/Nội dung</t>
  </si>
  <si>
    <t>Đơn vị tính</t>
  </si>
  <si>
    <t>Đánh giá kết quả thực hiện theo quý</t>
  </si>
  <si>
    <t>Chỉ tiêu được giao cả năm</t>
  </si>
  <si>
    <t>Lũy kế từ đầu năm</t>
  </si>
  <si>
    <t>Tỷ lệ thực hiện (%) (số lũy kế so với chỉ tiêu cả năm)</t>
  </si>
  <si>
    <t>Chỉ tiêu kế hoạch trong quý</t>
  </si>
  <si>
    <t>Kết quả thực hiện trong quý</t>
  </si>
  <si>
    <t>Tỷ lệ (%)</t>
  </si>
  <si>
    <t>Chỉ tiêu Cục HQ giao</t>
  </si>
  <si>
    <t>Chỉ tiêu phấn đấu</t>
  </si>
  <si>
    <t>So với chỉ tiêu Cục HQ giao</t>
  </si>
  <si>
    <t>So với chỉ tiêu phấn đấu</t>
  </si>
  <si>
    <t>(12)</t>
  </si>
  <si>
    <t>Công tác giải ngân</t>
  </si>
  <si>
    <t>Giải ngân vốn NSNN cấp</t>
  </si>
  <si>
    <t>Tỷ đồng</t>
  </si>
  <si>
    <t>2</t>
  </si>
  <si>
    <t>Công tác thu NSNN</t>
  </si>
  <si>
    <t>Số thu NSNN</t>
  </si>
  <si>
    <t>3</t>
  </si>
  <si>
    <t>Công tác KTSTQ</t>
  </si>
  <si>
    <t>3.1</t>
  </si>
  <si>
    <t>Số cuộc KTSTQ</t>
  </si>
  <si>
    <t>Cuộc</t>
  </si>
  <si>
    <t>3.2</t>
  </si>
  <si>
    <t>Số thu NSNN từ KTSTQ</t>
  </si>
  <si>
    <t>4</t>
  </si>
  <si>
    <t>Công tác ĐTCBL, GLTM</t>
  </si>
  <si>
    <t>4.1</t>
  </si>
  <si>
    <t>Số vụ chủ trì phát hiện, bắt giữ và xử lý</t>
  </si>
  <si>
    <t>- Tổng số vụ phát hiện bắt giữ và xử lý</t>
  </si>
  <si>
    <t>Vụ</t>
  </si>
  <si>
    <t>- Số vụ phát hiện bắt giữ và xử lý (không tính số vụ vi phạm về thời hạn)</t>
  </si>
  <si>
    <t>4.2</t>
  </si>
  <si>
    <t>Số vụ khởi tố</t>
  </si>
  <si>
    <t>4.3</t>
  </si>
  <si>
    <t>Số vụ chuyển nguồn tin kiến nghị khởi tố</t>
  </si>
  <si>
    <t>5</t>
  </si>
  <si>
    <t>Công tác quản lý, sử dụng tài sản, trang thiết bị</t>
  </si>
  <si>
    <t>5.1</t>
  </si>
  <si>
    <t>Máy soi container (nếu có)</t>
  </si>
  <si>
    <t>- Số container thực hiện soi chiếu</t>
  </si>
  <si>
    <t>cont</t>
  </si>
  <si>
    <t>- Tỷ lệ phát hiện vi phạm qua soi chiếu</t>
  </si>
  <si>
    <t>(%)</t>
  </si>
  <si>
    <t>5.2</t>
  </si>
  <si>
    <t>Máy phát hiện ma túy</t>
  </si>
  <si>
    <t>Lượt</t>
  </si>
  <si>
    <t>5.3</t>
  </si>
  <si>
    <t>Máy soi hành lý</t>
  </si>
  <si>
    <t>Mẫu số 04B</t>
  </si>
  <si>
    <t>(Dành cho các Phòng, Đội, Hải quan cửa khẩu thuộc Chi cục)</t>
  </si>
  <si>
    <t>Chỉ tiêu Chi cục giao</t>
  </si>
  <si>
    <t>So với chỉ tiêu Chi cục giao</t>
  </si>
  <si>
    <t>(13)</t>
  </si>
  <si>
    <t>(14)</t>
  </si>
  <si>
    <t>Số thu NSNN (Kịch bản 18.333 tỷ)</t>
  </si>
  <si>
    <t>Số thu NSNN (Kịch bản 25.000 tỷ)</t>
  </si>
  <si>
    <t>3.3</t>
  </si>
  <si>
    <t>Tỷ lệ phát hiện vi phạm</t>
  </si>
  <si>
    <t>3.4</t>
  </si>
  <si>
    <t>Phiếu cung cấp thông tin</t>
  </si>
  <si>
    <t>Phiếu</t>
  </si>
  <si>
    <t>4.4</t>
  </si>
  <si>
    <t>Số vụ phối hợp bắt giữ</t>
  </si>
  <si>
    <t>Số thu NSNN từ xử phạt vi phạm hành chính</t>
  </si>
  <si>
    <t>Triệu đồng</t>
  </si>
  <si>
    <t>Tuần tra hải quan</t>
  </si>
  <si>
    <t>Lập hồ sơ sưu tra</t>
  </si>
  <si>
    <t>Hồ sơ</t>
  </si>
  <si>
    <t>Lập hồ sơ ĐTNCNTH</t>
  </si>
  <si>
    <t>Xây dựng cơ sở bí mật</t>
  </si>
  <si>
    <t>4.10</t>
  </si>
  <si>
    <t>Đấu tranh chuyên án</t>
  </si>
  <si>
    <t>Chuyên án</t>
  </si>
  <si>
    <t>6</t>
  </si>
  <si>
    <t>Công tác giám sát quản lý</t>
  </si>
  <si>
    <t>6.1</t>
  </si>
  <si>
    <t>Chỉ tiêu tăng kim ngạch (không gồm KNQ, TNTX)</t>
  </si>
  <si>
    <t>6.2</t>
  </si>
  <si>
    <t>Chỉ tiêu tăng doanh nghiệp</t>
  </si>
  <si>
    <t>DN</t>
  </si>
  <si>
    <t>6.3</t>
  </si>
  <si>
    <t>Hội nghị đối thoại doanh nghiệp, tham vấn</t>
  </si>
  <si>
    <t>Hội nghị</t>
  </si>
  <si>
    <t>6.4</t>
  </si>
  <si>
    <t>Rà soát, đề xuất cắt giảm thủ tục, các mặt hàng kiểm tra chuyên ngành</t>
  </si>
  <si>
    <t>Nội dung</t>
  </si>
  <si>
    <t>6.5</t>
  </si>
  <si>
    <t>Phát hiện vi phạm khai báo sai xuất xứ, giả mạo nhãn mác, vi phạm SHTT</t>
  </si>
  <si>
    <t>6.6</t>
  </si>
  <si>
    <t>Đề xuất thông tin dấu hiệu vi phạm cung cấp KTSTQ (DN GC, SXXK, CX)</t>
  </si>
  <si>
    <t>Thông tin</t>
  </si>
  <si>
    <t>7</t>
  </si>
  <si>
    <t>Công tác quản lý rủi ro</t>
  </si>
  <si>
    <t>7.1</t>
  </si>
  <si>
    <t>Thu thập thông tin doanh nghiệp do Cục Hải quan giao</t>
  </si>
  <si>
    <t>7.2</t>
  </si>
  <si>
    <t>Thu thập thông tin doanh nghiệp do Chi cục giao</t>
  </si>
  <si>
    <t>7.3</t>
  </si>
  <si>
    <t>Hồ sơ doanh nghiệp trọng điểm (theo Phiếu CCTT được LĐ Chi cục phê duyệt)</t>
  </si>
  <si>
    <t>7.4</t>
  </si>
  <si>
    <t>Tiêu chí phân tích áp dụng - Tiêu chí doanh nghiệp</t>
  </si>
  <si>
    <t>Tiêu chí</t>
  </si>
  <si>
    <t>7.5</t>
  </si>
  <si>
    <t>Tiêu chí phân tích áp dụng - Tiêu chí mặt hàng trọng điểm</t>
  </si>
  <si>
    <t>8</t>
  </si>
  <si>
    <t>Công tác đào tạo</t>
  </si>
  <si>
    <t>8.1</t>
  </si>
  <si>
    <t>Tổng số lớp tự đào tạo/số lượt người tham gia</t>
  </si>
  <si>
    <t>Lớp/lượt</t>
  </si>
  <si>
    <t>9</t>
  </si>
  <si>
    <t>Công tác truyền thông</t>
  </si>
  <si>
    <t>9.1</t>
  </si>
  <si>
    <t>Tin, bài đăng tải trên website Cục</t>
  </si>
  <si>
    <t>Tin bài</t>
  </si>
  <si>
    <t>9.2</t>
  </si>
  <si>
    <t>Tin bài trên Fanpage DDCI Hải quan</t>
  </si>
  <si>
    <t>9.3</t>
  </si>
  <si>
    <t>Tin bài trên Fanpage DDCI Quảng Ninh</t>
  </si>
  <si>
    <t>9.4</t>
  </si>
  <si>
    <t>Tin bài trên ISEC</t>
  </si>
  <si>
    <t>Mẫu số 04C</t>
  </si>
  <si>
    <t>BIỂU ĐĂNG KÝ, ĐIỀU CHỈNH LỘ TRÌNH THỰC HIỆN CHỈ TIÊU NĂM 2026</t>
  </si>
  <si>
    <t>Kết quả Quý I</t>
  </si>
  <si>
    <t>Kết quả Quý II</t>
  </si>
  <si>
    <t>Kết quả
Tháng 7</t>
  </si>
  <si>
    <t>Kết quả
Tháng 8</t>
  </si>
  <si>
    <t>Kế hoạch Tháng 9</t>
  </si>
  <si>
    <t>Kế hoạch Quý III</t>
  </si>
  <si>
    <t>Kế hoạch Tháng 10</t>
  </si>
  <si>
    <t>Kế hoạch  Tháng 11</t>
  </si>
  <si>
    <t>Kế hoạch Tháng 12</t>
  </si>
  <si>
    <t>Kế hoạch Quý IV</t>
  </si>
  <si>
    <t>Cả năm</t>
  </si>
  <si>
    <t>(15)</t>
  </si>
  <si>
    <t>(16)</t>
  </si>
  <si>
    <t>4.5</t>
  </si>
  <si>
    <t>4.6</t>
  </si>
  <si>
    <t>4.7</t>
  </si>
  <si>
    <t>4.8</t>
  </si>
  <si>
    <t>4.9</t>
  </si>
  <si>
    <t>Lưu ý:</t>
  </si>
  <si>
    <t xml:space="preserve">Lãnh đạo Phòng/Đội phụ trách </t>
  </si>
  <si>
    <t xml:space="preserve">Công chức có liên quan </t>
  </si>
  <si>
    <t>Lãnh đạo Phòng/Đội 
phụ trách</t>
  </si>
  <si>
    <t>'- Cột (15) ghi rõ Lãnh đạo Phòng/Đội phụ trách được phân công phụ trách theo thực tế; khi có sự thay đổi kịp thời báo cáo về Phòng TCCB. Đồng thời đơn vị phải xác định rõ công chức có liên quan đến từng chỉ tiêu được xác định theo phân công nhiệm vụ của đơn vị đối với các chỉ tiêu, theo nguyên tắc: (i) đối với các chỉ tiêu định lượng theo sản phẩm, vụ việc cụ thể (tin bài; số vụ bắt giữ; hồ sơ sưu tra, ĐTNCNTH; số cuộc kiểm tra sau thông quan; lớp đào tạo;...): là công chức được phân công trực tiếp thực hiện; (ii) đối với các chỉ tiêu kết quả tổng hợp (số thu NSNN; kim ngạch; tăng doanh nghiệp;...): là công chức có liên quan đến từng khâu nghiệp vụ.</t>
  </si>
  <si>
    <t>Ghi chú: cột (12) Ghi tên, chức vụ của lãnh đạo  phụ trách từng chỉ tiêu ; cột (13) ghi tên công chức có liên quan - chỉ ghi đối với các chỉ tiêu không đạt, kể cả trường hợp không đạt do nguyên nhân khách quan; là căn cứ xác định trách nhiệm của tập thể, cá nhân trong đánh giá, xếp loại.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</si>
</sst>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numFmts>
  <fonts count="14" x14ac:knownFonts="1">
    <font>
      <sz val="11"/>
      <color theme="1"/>
      <name val="Calibri"/>
      <family val="2"/>
      <charset val="1"/>
    </font>
    <font>
      <b/>
      <sz val="13"/>
      <name val="Times New Roman"/>
      <charset val="1"/>
    </font>
    <font>
      <i/>
      <sz val="12"/>
      <name val="Times New Roman"/>
      <charset val="1"/>
    </font>
    <font>
      <b/>
      <sz val="12"/>
      <name val="Times New Roman"/>
      <charset val="1"/>
    </font>
    <font>
      <i/>
      <sz val="10"/>
      <name val="Times New Roman"/>
      <charset val="1"/>
    </font>
    <font>
      <i/>
      <sz val="11"/>
      <name val="Times New Roman"/>
      <charset val="1"/>
    </font>
    <font>
      <sz val="12"/>
      <name val="Times New Roman"/>
      <charset val="1"/>
    </font>
    <font>
      <sz val="12"/>
      <color rgb="FF0000FF"/>
      <name val="Times New Roman"/>
      <charset val="1"/>
    </font>
    <font>
      <sz val="13"/>
      <name val="Times New Roman"/>
      <family val="1"/>
      <charset val="1"/>
    </font>
    <font>
      <b/>
      <sz val="13"/>
      <name val="Times New Roman"/>
      <family val="1"/>
      <charset val="1"/>
    </font>
    <font>
      <sz val="12"/>
      <name val="Times New Roman"/>
      <family val="1"/>
      <charset val="1"/>
    </font>
    <font>
      <b/>
      <i/>
      <sz val="11"/>
      <name val="Times New Roman"/>
      <charset val="1"/>
    </font>
    <font>
      <b/>
      <sz val="12"/>
      <name val="Times New Roman"/>
      <family val="1"/>
    </font>
    <font>
      <i/>
      <sz val="11"/>
      <name val="Times New Roman"/>
      <family val="1"/>
    </font>
  </fonts>
  <fills count="3">
    <fill>
      <patternFill patternType="none"/>
    </fill>
    <fill>
      <patternFill patternType="gray125"/>
    </fill>
    <fill>
      <patternFill patternType="solid">
        <fgColor rgb="FFD9D9D9"/>
        <bgColor rgb="FFC0C0C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37">
    <xf numFmtId="0" fontId="0" fillId="0" borderId="0" xfId="0"/>
    <xf numFmtId="0" fontId="0" fillId="0" borderId="0" xfId="0" applyAlignment="1"/>
    <xf numFmtId="0" fontId="1" fillId="0" borderId="0" xfId="0" applyFont="1" applyAlignment="1">
      <alignment horizontal="left"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4" fontId="5"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xf numFmtId="0" fontId="1" fillId="0" borderId="0" xfId="0" applyFont="1" applyAlignment="1">
      <alignment horizontal="center" vertical="center" wrapText="1"/>
    </xf>
    <xf numFmtId="0" fontId="3" fillId="0" borderId="1" xfId="0" applyFont="1" applyBorder="1" applyAlignment="1">
      <alignment horizontal="left" vertical="center" wrapText="1"/>
    </xf>
    <xf numFmtId="0" fontId="0" fillId="0" borderId="1" xfId="0" applyBorder="1" applyAlignment="1">
      <alignment horizontal="center" vertical="center" wrapText="1"/>
    </xf>
    <xf numFmtId="0" fontId="6" fillId="0" borderId="1" xfId="0" applyFont="1" applyBorder="1" applyAlignment="1">
      <alignment horizontal="left" vertical="center" wrapText="1"/>
    </xf>
    <xf numFmtId="0" fontId="1" fillId="0" borderId="0" xfId="0" applyFont="1" applyAlignment="1"/>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0" fillId="0" borderId="1" xfId="0" applyFill="1" applyBorder="1" applyAlignment="1">
      <alignment horizontal="center" vertical="center" wrapText="1"/>
    </xf>
    <xf numFmtId="0" fontId="7" fillId="0"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5" fillId="0" borderId="0" xfId="0" applyFont="1" applyBorder="1" applyAlignment="1"/>
    <xf numFmtId="0" fontId="5" fillId="0" borderId="0" xfId="0" applyFont="1" applyBorder="1" applyAlignment="1">
      <alignment wrapText="1"/>
    </xf>
    <xf numFmtId="0" fontId="2" fillId="0" borderId="0" xfId="0" applyFont="1" applyBorder="1" applyAlignment="1">
      <alignment horizontal="center" vertical="center" wrapText="1"/>
    </xf>
    <xf numFmtId="0" fontId="1" fillId="0" borderId="0" xfId="0" applyFont="1" applyBorder="1"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Border="1" applyAlignment="1">
      <alignment horizontal="right" vertical="center"/>
    </xf>
    <xf numFmtId="0" fontId="1" fillId="0" borderId="0" xfId="0" applyFont="1" applyBorder="1" applyAlignment="1">
      <alignment horizontal="left" vertical="center" wrapText="1"/>
    </xf>
    <xf numFmtId="0" fontId="8" fillId="0" borderId="0" xfId="0" applyFont="1" applyBorder="1" applyAlignment="1">
      <alignment horizontal="left" vertical="center" wrapText="1"/>
    </xf>
    <xf numFmtId="0" fontId="9" fillId="0" borderId="0" xfId="0" applyFont="1" applyBorder="1" applyAlignment="1">
      <alignment horizontal="center" vertical="center" wrapText="1"/>
    </xf>
    <xf numFmtId="0" fontId="5" fillId="0" borderId="0" xfId="0" applyFont="1" applyBorder="1" applyAlignment="1">
      <alignment vertical="top" wrapText="1"/>
    </xf>
    <xf numFmtId="0" fontId="12"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1" fillId="0" borderId="0" xfId="0" applyFont="1" applyBorder="1" applyAlignment="1"/>
    <xf numFmtId="0" fontId="13" fillId="0" borderId="0" xfId="0" quotePrefix="1"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zoomScaleNormal="100" workbookViewId="0">
      <selection activeCell="O12" sqref="O12"/>
    </sheetView>
  </sheetViews>
  <sheetFormatPr defaultColWidth="8.7109375" defaultRowHeight="15" x14ac:dyDescent="0.25"/>
  <cols>
    <col min="1" max="1" width="5" style="1" customWidth="1"/>
    <col min="2" max="2" width="24" style="1" customWidth="1"/>
    <col min="3" max="3" width="17" style="1" customWidth="1"/>
    <col min="4" max="4" width="23.28515625" style="1" customWidth="1"/>
    <col min="5" max="5" width="13.5703125" style="1" customWidth="1"/>
    <col min="6" max="6" width="12" style="1" customWidth="1"/>
    <col min="7" max="7" width="10" style="1" customWidth="1"/>
    <col min="8" max="10" width="9" style="1" customWidth="1"/>
    <col min="11" max="11" width="13" style="1" customWidth="1"/>
  </cols>
  <sheetData>
    <row r="1" spans="1:11" ht="16.5" customHeight="1" x14ac:dyDescent="0.25">
      <c r="A1" s="28" t="s">
        <v>0</v>
      </c>
      <c r="B1" s="28"/>
      <c r="C1" s="28"/>
      <c r="D1" s="28"/>
      <c r="E1" s="28"/>
      <c r="F1" s="28"/>
      <c r="G1" s="28"/>
      <c r="H1" s="28"/>
      <c r="I1" s="28"/>
      <c r="J1" s="28"/>
      <c r="K1" s="28"/>
    </row>
    <row r="2" spans="1:11" ht="16.5" customHeight="1" x14ac:dyDescent="0.25">
      <c r="A2" s="29" t="s">
        <v>1</v>
      </c>
      <c r="B2" s="29"/>
      <c r="C2" s="29"/>
      <c r="D2" s="29"/>
      <c r="E2" s="29"/>
      <c r="F2" s="29"/>
      <c r="G2" s="29"/>
      <c r="H2" s="29"/>
      <c r="I2" s="29"/>
      <c r="J2" s="29"/>
      <c r="K2" s="29"/>
    </row>
    <row r="3" spans="1:11" ht="16.5" customHeight="1" x14ac:dyDescent="0.25">
      <c r="A3" s="29" t="s">
        <v>2</v>
      </c>
      <c r="B3" s="29"/>
      <c r="C3" s="29"/>
      <c r="D3" s="29"/>
      <c r="E3" s="29"/>
      <c r="F3" s="29"/>
      <c r="G3" s="29"/>
      <c r="H3" s="29"/>
      <c r="I3" s="29"/>
      <c r="J3" s="29"/>
      <c r="K3" s="29"/>
    </row>
    <row r="4" spans="1:11" ht="16.5" customHeight="1" x14ac:dyDescent="0.25">
      <c r="A4" s="2"/>
      <c r="B4" s="2"/>
      <c r="C4" s="2"/>
      <c r="D4" s="2"/>
      <c r="E4" s="2"/>
      <c r="F4" s="2"/>
      <c r="G4" s="2"/>
      <c r="H4" s="2"/>
      <c r="I4" s="2"/>
      <c r="J4" s="2"/>
      <c r="K4" s="2"/>
    </row>
    <row r="5" spans="1:11" ht="15.75" customHeight="1" x14ac:dyDescent="0.25">
      <c r="A5" s="26" t="s">
        <v>3</v>
      </c>
      <c r="B5" s="26"/>
      <c r="C5" s="26"/>
      <c r="D5" s="26"/>
      <c r="E5" s="26"/>
      <c r="F5" s="26"/>
      <c r="G5" s="26"/>
      <c r="H5" s="26"/>
      <c r="I5" s="26"/>
      <c r="J5" s="26"/>
      <c r="K5" s="26"/>
    </row>
    <row r="6" spans="1:11" ht="15.75" customHeight="1" x14ac:dyDescent="0.25">
      <c r="A6" s="26" t="s">
        <v>4</v>
      </c>
      <c r="B6" s="26"/>
      <c r="C6" s="26"/>
      <c r="D6" s="26"/>
      <c r="E6" s="26"/>
      <c r="F6" s="26"/>
      <c r="G6" s="26"/>
      <c r="H6" s="26"/>
      <c r="I6" s="26"/>
      <c r="J6" s="26"/>
      <c r="K6" s="26"/>
    </row>
    <row r="7" spans="1:11" ht="15" customHeight="1" x14ac:dyDescent="0.25">
      <c r="A7" s="25" t="s">
        <v>5</v>
      </c>
      <c r="B7" s="25"/>
      <c r="C7" s="25"/>
      <c r="D7" s="25"/>
      <c r="E7" s="25"/>
      <c r="F7" s="25"/>
      <c r="G7" s="25"/>
      <c r="H7" s="25"/>
      <c r="I7" s="25"/>
      <c r="J7" s="25"/>
      <c r="K7" s="25"/>
    </row>
    <row r="8" spans="1:11" ht="15.75" customHeight="1" x14ac:dyDescent="0.25">
      <c r="A8" s="26" t="s">
        <v>6</v>
      </c>
      <c r="B8" s="26"/>
      <c r="C8" s="26"/>
      <c r="D8" s="26"/>
      <c r="E8" s="26"/>
      <c r="F8" s="26"/>
      <c r="G8" s="26"/>
      <c r="H8" s="26"/>
      <c r="I8" s="26"/>
      <c r="J8" s="26"/>
      <c r="K8" s="26"/>
    </row>
    <row r="9" spans="1:11" ht="26.25" customHeight="1" x14ac:dyDescent="0.25">
      <c r="A9" s="27" t="s">
        <v>7</v>
      </c>
      <c r="B9" s="27" t="s">
        <v>8</v>
      </c>
      <c r="C9" s="27" t="s">
        <v>9</v>
      </c>
      <c r="D9" s="27" t="s">
        <v>10</v>
      </c>
      <c r="E9" s="27" t="s">
        <v>11</v>
      </c>
      <c r="F9" s="27" t="s">
        <v>12</v>
      </c>
      <c r="G9" s="27" t="s">
        <v>13</v>
      </c>
      <c r="H9" s="27" t="s">
        <v>14</v>
      </c>
      <c r="I9" s="27"/>
      <c r="J9" s="27"/>
      <c r="K9" s="27" t="s">
        <v>15</v>
      </c>
    </row>
    <row r="10" spans="1:11" ht="31.5" customHeight="1" x14ac:dyDescent="0.25">
      <c r="A10" s="27"/>
      <c r="B10" s="27"/>
      <c r="C10" s="27"/>
      <c r="D10" s="27"/>
      <c r="E10" s="27"/>
      <c r="F10" s="27"/>
      <c r="G10" s="27"/>
      <c r="H10" s="3" t="s">
        <v>16</v>
      </c>
      <c r="I10" s="3" t="s">
        <v>17</v>
      </c>
      <c r="J10" s="3" t="s">
        <v>18</v>
      </c>
      <c r="K10" s="27"/>
    </row>
    <row r="11" spans="1:11" ht="15" customHeight="1" x14ac:dyDescent="0.25">
      <c r="A11" s="4" t="s">
        <v>19</v>
      </c>
      <c r="B11" s="4" t="s">
        <v>20</v>
      </c>
      <c r="C11" s="4" t="s">
        <v>21</v>
      </c>
      <c r="D11" s="4" t="s">
        <v>22</v>
      </c>
      <c r="E11" s="4" t="s">
        <v>23</v>
      </c>
      <c r="F11" s="4" t="s">
        <v>24</v>
      </c>
      <c r="G11" s="4" t="s">
        <v>25</v>
      </c>
      <c r="H11" s="4" t="s">
        <v>26</v>
      </c>
      <c r="I11" s="4" t="s">
        <v>27</v>
      </c>
      <c r="J11" s="4" t="s">
        <v>28</v>
      </c>
      <c r="K11" s="4" t="s">
        <v>29</v>
      </c>
    </row>
    <row r="12" spans="1:11" ht="45" customHeight="1" x14ac:dyDescent="0.25">
      <c r="A12" s="5" t="s">
        <v>30</v>
      </c>
      <c r="B12" s="6" t="s">
        <v>31</v>
      </c>
      <c r="C12" s="5" t="s">
        <v>32</v>
      </c>
      <c r="D12" s="5" t="s">
        <v>33</v>
      </c>
      <c r="E12" s="7">
        <v>46246</v>
      </c>
      <c r="F12" s="7">
        <v>46244</v>
      </c>
      <c r="G12" s="5"/>
      <c r="H12" s="5" t="s">
        <v>34</v>
      </c>
      <c r="I12" s="5"/>
      <c r="J12" s="5"/>
      <c r="K12" s="5"/>
    </row>
    <row r="13" spans="1:11" ht="45" customHeight="1" x14ac:dyDescent="0.25">
      <c r="A13" s="5">
        <v>2</v>
      </c>
      <c r="B13" s="6" t="s">
        <v>35</v>
      </c>
      <c r="C13" s="5" t="s">
        <v>36</v>
      </c>
      <c r="D13" s="5" t="s">
        <v>37</v>
      </c>
      <c r="E13" s="7">
        <v>46243</v>
      </c>
      <c r="F13" s="7">
        <v>46243</v>
      </c>
      <c r="G13" s="5"/>
      <c r="H13" s="5"/>
      <c r="I13" s="5" t="s">
        <v>34</v>
      </c>
      <c r="J13" s="5"/>
      <c r="K13" s="5"/>
    </row>
    <row r="14" spans="1:11" ht="45" customHeight="1" x14ac:dyDescent="0.25">
      <c r="A14" s="5">
        <v>3</v>
      </c>
      <c r="B14" s="6" t="s">
        <v>38</v>
      </c>
      <c r="C14" s="5" t="s">
        <v>32</v>
      </c>
      <c r="D14" s="5" t="s">
        <v>39</v>
      </c>
      <c r="E14" s="7">
        <v>46272</v>
      </c>
      <c r="F14" s="5" t="s">
        <v>13</v>
      </c>
      <c r="G14" s="5" t="s">
        <v>34</v>
      </c>
      <c r="H14" s="5"/>
      <c r="I14" s="5"/>
      <c r="J14" s="5"/>
      <c r="K14" s="5"/>
    </row>
    <row r="15" spans="1:11" ht="15.75" customHeight="1" x14ac:dyDescent="0.25">
      <c r="A15" s="8"/>
      <c r="B15" s="9"/>
      <c r="C15" s="9"/>
      <c r="D15" s="9"/>
      <c r="E15" s="9"/>
      <c r="F15" s="9"/>
      <c r="G15" s="8"/>
      <c r="H15" s="8"/>
      <c r="I15" s="8"/>
      <c r="J15" s="8"/>
      <c r="K15" s="8"/>
    </row>
    <row r="16" spans="1:11" ht="15.75" customHeight="1" x14ac:dyDescent="0.25">
      <c r="A16" s="8"/>
      <c r="B16" s="9"/>
      <c r="C16" s="9"/>
      <c r="D16" s="9"/>
      <c r="E16" s="9"/>
      <c r="F16" s="9"/>
      <c r="G16" s="8"/>
      <c r="H16" s="8"/>
      <c r="I16" s="8"/>
      <c r="J16" s="8"/>
      <c r="K16" s="8"/>
    </row>
    <row r="17" spans="1:11" ht="15" customHeight="1" x14ac:dyDescent="0.25">
      <c r="A17" s="22" t="s">
        <v>40</v>
      </c>
      <c r="B17" s="22"/>
      <c r="C17" s="22"/>
      <c r="D17" s="22"/>
      <c r="E17" s="22"/>
      <c r="F17" s="22"/>
      <c r="G17" s="10">
        <f>COUNTIF(G12:G16,"X")</f>
        <v>1</v>
      </c>
      <c r="H17" s="10">
        <f>COUNTIF(H12:H16,"X")</f>
        <v>1</v>
      </c>
      <c r="I17" s="10">
        <f>COUNTIF(I12:I16,"X")</f>
        <v>1</v>
      </c>
      <c r="J17" s="10">
        <f>COUNTIF(J12:J16,"X")</f>
        <v>0</v>
      </c>
      <c r="K17" s="11"/>
    </row>
    <row r="19" spans="1:11" ht="15" customHeight="1" x14ac:dyDescent="0.25">
      <c r="A19" s="23" t="s">
        <v>41</v>
      </c>
      <c r="B19" s="23"/>
      <c r="C19" s="23"/>
      <c r="D19" s="23"/>
      <c r="E19" s="23"/>
      <c r="F19" s="23"/>
      <c r="G19" s="23"/>
      <c r="H19" s="23"/>
      <c r="I19" s="23"/>
      <c r="J19" s="23"/>
      <c r="K19" s="23"/>
    </row>
    <row r="20" spans="1:11" ht="33.75" customHeight="1" x14ac:dyDescent="0.25">
      <c r="A20" s="24" t="s">
        <v>42</v>
      </c>
      <c r="B20" s="24"/>
      <c r="C20" s="24"/>
      <c r="D20" s="24"/>
      <c r="E20" s="24"/>
      <c r="F20" s="24"/>
      <c r="G20" s="24"/>
      <c r="H20" s="24"/>
      <c r="I20" s="24"/>
      <c r="J20" s="24"/>
      <c r="K20" s="24"/>
    </row>
    <row r="21" spans="1:11" ht="15" customHeight="1" x14ac:dyDescent="0.25">
      <c r="A21" s="23" t="s">
        <v>43</v>
      </c>
      <c r="B21" s="23"/>
      <c r="C21" s="23"/>
      <c r="D21" s="23"/>
      <c r="E21" s="23"/>
      <c r="F21" s="23"/>
      <c r="G21" s="23"/>
      <c r="H21" s="23"/>
      <c r="I21" s="23"/>
      <c r="J21" s="23"/>
      <c r="K21" s="23"/>
    </row>
  </sheetData>
  <mergeCells count="20">
    <mergeCell ref="A1:K1"/>
    <mergeCell ref="A2:K2"/>
    <mergeCell ref="A3:K3"/>
    <mergeCell ref="A5:K5"/>
    <mergeCell ref="A6:K6"/>
    <mergeCell ref="A17:F17"/>
    <mergeCell ref="A19:K19"/>
    <mergeCell ref="A20:K20"/>
    <mergeCell ref="A21:K21"/>
    <mergeCell ref="A7:K7"/>
    <mergeCell ref="A8:K8"/>
    <mergeCell ref="A9:A10"/>
    <mergeCell ref="B9:B10"/>
    <mergeCell ref="C9:C10"/>
    <mergeCell ref="D9:D10"/>
    <mergeCell ref="E9:E10"/>
    <mergeCell ref="F9:F10"/>
    <mergeCell ref="G9:G10"/>
    <mergeCell ref="H9:J9"/>
    <mergeCell ref="K9:K10"/>
  </mergeCells>
  <pageMargins left="0.75" right="0.75" top="0.42986111111111103" bottom="0.54027777777777797" header="0.511811023622047" footer="0.511811023622047"/>
  <pageSetup paperSize="9" scale="9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topLeftCell="A4" zoomScaleNormal="100" workbookViewId="0">
      <selection activeCell="B33" sqref="B33"/>
    </sheetView>
  </sheetViews>
  <sheetFormatPr defaultColWidth="8.7109375" defaultRowHeight="15" x14ac:dyDescent="0.25"/>
  <cols>
    <col min="1" max="1" width="5" style="1" customWidth="1"/>
    <col min="2" max="2" width="40" style="1" customWidth="1"/>
    <col min="3" max="3" width="10" style="1" customWidth="1"/>
    <col min="4" max="5" width="11" style="1" customWidth="1"/>
    <col min="6" max="6" width="9" style="1" customWidth="1"/>
    <col min="7" max="11" width="11" style="1" customWidth="1"/>
    <col min="12" max="12" width="12" style="1" customWidth="1"/>
  </cols>
  <sheetData>
    <row r="1" spans="1:12" ht="16.5" customHeight="1" x14ac:dyDescent="0.25">
      <c r="A1" s="28" t="s">
        <v>44</v>
      </c>
      <c r="B1" s="28"/>
      <c r="C1" s="28"/>
      <c r="D1" s="28"/>
      <c r="E1" s="28"/>
      <c r="F1" s="28"/>
      <c r="G1" s="28"/>
      <c r="H1" s="28"/>
      <c r="I1" s="28"/>
      <c r="J1" s="28"/>
      <c r="K1" s="28"/>
      <c r="L1" s="28"/>
    </row>
    <row r="2" spans="1:12" ht="16.5" customHeight="1" x14ac:dyDescent="0.25">
      <c r="A2" s="30" t="s">
        <v>45</v>
      </c>
      <c r="B2" s="30"/>
      <c r="C2" s="30"/>
      <c r="D2" s="30"/>
      <c r="E2" s="30"/>
      <c r="F2" s="30"/>
      <c r="G2" s="30"/>
      <c r="H2" s="30"/>
      <c r="I2" s="30"/>
      <c r="J2" s="30"/>
      <c r="K2" s="30"/>
      <c r="L2" s="30"/>
    </row>
    <row r="3" spans="1:12" ht="16.5" customHeight="1" x14ac:dyDescent="0.25">
      <c r="A3" s="29" t="s">
        <v>1</v>
      </c>
      <c r="B3" s="29"/>
      <c r="C3" s="29"/>
      <c r="D3" s="29"/>
      <c r="E3" s="29"/>
      <c r="F3" s="29"/>
      <c r="G3" s="29"/>
      <c r="H3" s="29"/>
      <c r="I3" s="29"/>
      <c r="J3" s="29"/>
      <c r="K3" s="29"/>
      <c r="L3" s="29"/>
    </row>
    <row r="4" spans="1:12" ht="16.5" customHeight="1" x14ac:dyDescent="0.25">
      <c r="A4" s="2"/>
      <c r="B4" s="2"/>
      <c r="C4" s="2"/>
      <c r="D4" s="2"/>
      <c r="E4" s="2"/>
      <c r="F4" s="2"/>
      <c r="G4" s="2"/>
      <c r="H4" s="2"/>
      <c r="I4" s="2"/>
      <c r="J4" s="2"/>
      <c r="K4" s="2"/>
      <c r="L4" s="2"/>
    </row>
    <row r="5" spans="1:12" ht="15.75" customHeight="1" x14ac:dyDescent="0.25">
      <c r="A5" s="31" t="s">
        <v>46</v>
      </c>
      <c r="B5" s="31"/>
      <c r="C5" s="31"/>
      <c r="D5" s="31"/>
      <c r="E5" s="31"/>
      <c r="F5" s="31"/>
      <c r="G5" s="31"/>
      <c r="H5" s="31"/>
      <c r="I5" s="31"/>
      <c r="J5" s="31"/>
      <c r="K5" s="31"/>
      <c r="L5" s="31"/>
    </row>
    <row r="6" spans="1:12" ht="15.75" customHeight="1" x14ac:dyDescent="0.25">
      <c r="A6" s="26" t="s">
        <v>6</v>
      </c>
      <c r="B6" s="26"/>
      <c r="C6" s="26"/>
      <c r="D6" s="26"/>
      <c r="E6" s="26"/>
      <c r="F6" s="26"/>
      <c r="G6" s="26"/>
      <c r="H6" s="26"/>
      <c r="I6" s="26"/>
      <c r="J6" s="26"/>
      <c r="K6" s="26"/>
      <c r="L6" s="26"/>
    </row>
    <row r="7" spans="1:12" ht="15.75" customHeight="1" x14ac:dyDescent="0.25">
      <c r="A7" s="12"/>
      <c r="B7" s="12"/>
      <c r="C7" s="12"/>
      <c r="D7" s="12"/>
      <c r="E7" s="12"/>
      <c r="F7" s="12"/>
      <c r="G7" s="12"/>
      <c r="H7" s="12"/>
      <c r="I7" s="12"/>
      <c r="J7" s="12"/>
      <c r="K7" s="12"/>
      <c r="L7" s="12"/>
    </row>
    <row r="8" spans="1:12" ht="55.5" customHeight="1" x14ac:dyDescent="0.25">
      <c r="A8" s="27" t="s">
        <v>47</v>
      </c>
      <c r="B8" s="27" t="s">
        <v>48</v>
      </c>
      <c r="C8" s="27" t="s">
        <v>49</v>
      </c>
      <c r="D8" s="27" t="s">
        <v>50</v>
      </c>
      <c r="E8" s="27"/>
      <c r="F8" s="27"/>
      <c r="G8" s="27" t="s">
        <v>51</v>
      </c>
      <c r="H8" s="27"/>
      <c r="I8" s="27" t="s">
        <v>52</v>
      </c>
      <c r="J8" s="27" t="s">
        <v>53</v>
      </c>
      <c r="K8" s="27"/>
      <c r="L8" s="27" t="s">
        <v>15</v>
      </c>
    </row>
    <row r="9" spans="1:12" ht="47.25" customHeight="1" x14ac:dyDescent="0.25">
      <c r="A9" s="27"/>
      <c r="B9" s="27"/>
      <c r="C9" s="27"/>
      <c r="D9" s="3" t="s">
        <v>54</v>
      </c>
      <c r="E9" s="3" t="s">
        <v>55</v>
      </c>
      <c r="F9" s="3" t="s">
        <v>56</v>
      </c>
      <c r="G9" s="3" t="s">
        <v>57</v>
      </c>
      <c r="H9" s="3" t="s">
        <v>58</v>
      </c>
      <c r="I9" s="27"/>
      <c r="J9" s="3" t="s">
        <v>59</v>
      </c>
      <c r="K9" s="3" t="s">
        <v>60</v>
      </c>
      <c r="L9" s="27"/>
    </row>
    <row r="10" spans="1:12" ht="15" customHeight="1" x14ac:dyDescent="0.25">
      <c r="A10" s="4" t="s">
        <v>19</v>
      </c>
      <c r="B10" s="4" t="s">
        <v>20</v>
      </c>
      <c r="C10" s="4" t="s">
        <v>21</v>
      </c>
      <c r="D10" s="4" t="s">
        <v>22</v>
      </c>
      <c r="E10" s="4" t="s">
        <v>23</v>
      </c>
      <c r="F10" s="4" t="s">
        <v>24</v>
      </c>
      <c r="G10" s="4" t="s">
        <v>25</v>
      </c>
      <c r="H10" s="4" t="s">
        <v>26</v>
      </c>
      <c r="I10" s="4" t="s">
        <v>27</v>
      </c>
      <c r="J10" s="4" t="s">
        <v>28</v>
      </c>
      <c r="K10" s="4" t="s">
        <v>29</v>
      </c>
      <c r="L10" s="4" t="s">
        <v>61</v>
      </c>
    </row>
    <row r="11" spans="1:12" ht="15.75" customHeight="1" x14ac:dyDescent="0.25">
      <c r="A11" s="8" t="s">
        <v>30</v>
      </c>
      <c r="B11" s="13" t="s">
        <v>62</v>
      </c>
      <c r="C11" s="8"/>
      <c r="D11" s="14"/>
      <c r="E11" s="14"/>
      <c r="F11" s="14"/>
      <c r="G11" s="14"/>
      <c r="H11" s="14"/>
      <c r="I11" s="14"/>
      <c r="J11" s="14"/>
      <c r="K11" s="14"/>
      <c r="L11" s="14"/>
    </row>
    <row r="12" spans="1:12" ht="15.75" customHeight="1" x14ac:dyDescent="0.25">
      <c r="A12" s="8"/>
      <c r="B12" s="15" t="s">
        <v>63</v>
      </c>
      <c r="C12" s="8" t="s">
        <v>64</v>
      </c>
      <c r="D12" s="9"/>
      <c r="E12" s="9"/>
      <c r="F12" s="8" t="str">
        <f>IF(OR(D12="",D12=0),"",ROUND(E12/D12*100,1))</f>
        <v/>
      </c>
      <c r="G12" s="9"/>
      <c r="H12" s="9"/>
      <c r="I12" s="9"/>
      <c r="J12" s="8" t="str">
        <f>IF(OR(G12="",G12=0),"",ROUND(I12/G12*100,1))</f>
        <v/>
      </c>
      <c r="K12" s="8" t="str">
        <f>IF(OR(H12="",H12=0),"",ROUND(I12/H12*100,1))</f>
        <v/>
      </c>
      <c r="L12" s="14"/>
    </row>
    <row r="13" spans="1:12" ht="15.75" customHeight="1" x14ac:dyDescent="0.25">
      <c r="A13" s="8" t="s">
        <v>65</v>
      </c>
      <c r="B13" s="13" t="s">
        <v>66</v>
      </c>
      <c r="C13" s="8"/>
      <c r="D13" s="14"/>
      <c r="E13" s="14"/>
      <c r="F13" s="14"/>
      <c r="G13" s="14"/>
      <c r="H13" s="14"/>
      <c r="I13" s="14"/>
      <c r="J13" s="14"/>
      <c r="K13" s="14"/>
      <c r="L13" s="14"/>
    </row>
    <row r="14" spans="1:12" ht="15.75" customHeight="1" x14ac:dyDescent="0.25">
      <c r="A14" s="8"/>
      <c r="B14" s="15" t="s">
        <v>67</v>
      </c>
      <c r="C14" s="8" t="s">
        <v>64</v>
      </c>
      <c r="D14" s="9"/>
      <c r="E14" s="9"/>
      <c r="F14" s="8" t="str">
        <f>IF(OR(D14="",D14=0),"",ROUND(E14/D14*100,1))</f>
        <v/>
      </c>
      <c r="G14" s="9"/>
      <c r="H14" s="9"/>
      <c r="I14" s="9"/>
      <c r="J14" s="8" t="str">
        <f>IF(OR(G14="",G14=0),"",ROUND(I14/G14*100,1))</f>
        <v/>
      </c>
      <c r="K14" s="8" t="str">
        <f>IF(OR(H14="",H14=0),"",ROUND(I14/H14*100,1))</f>
        <v/>
      </c>
      <c r="L14" s="14"/>
    </row>
    <row r="15" spans="1:12" ht="15.75" customHeight="1" x14ac:dyDescent="0.25">
      <c r="A15" s="8" t="s">
        <v>68</v>
      </c>
      <c r="B15" s="13" t="s">
        <v>69</v>
      </c>
      <c r="C15" s="8"/>
      <c r="D15" s="14"/>
      <c r="E15" s="14"/>
      <c r="F15" s="14"/>
      <c r="G15" s="14"/>
      <c r="H15" s="14"/>
      <c r="I15" s="14"/>
      <c r="J15" s="14"/>
      <c r="K15" s="14"/>
      <c r="L15" s="14"/>
    </row>
    <row r="16" spans="1:12" ht="15.75" customHeight="1" x14ac:dyDescent="0.25">
      <c r="A16" s="8" t="s">
        <v>70</v>
      </c>
      <c r="B16" s="15" t="s">
        <v>71</v>
      </c>
      <c r="C16" s="8" t="s">
        <v>72</v>
      </c>
      <c r="D16" s="9"/>
      <c r="E16" s="9"/>
      <c r="F16" s="8" t="str">
        <f>IF(OR(D16="",D16=0),"",ROUND(E16/D16*100,1))</f>
        <v/>
      </c>
      <c r="G16" s="9"/>
      <c r="H16" s="9"/>
      <c r="I16" s="9"/>
      <c r="J16" s="8" t="str">
        <f>IF(OR(G16="",G16=0),"",ROUND(I16/G16*100,1))</f>
        <v/>
      </c>
      <c r="K16" s="8" t="str">
        <f>IF(OR(H16="",H16=0),"",ROUND(I16/H16*100,1))</f>
        <v/>
      </c>
      <c r="L16" s="14"/>
    </row>
    <row r="17" spans="1:12" ht="15.75" customHeight="1" x14ac:dyDescent="0.25">
      <c r="A17" s="8" t="s">
        <v>73</v>
      </c>
      <c r="B17" s="15" t="s">
        <v>74</v>
      </c>
      <c r="C17" s="8" t="s">
        <v>64</v>
      </c>
      <c r="D17" s="9"/>
      <c r="E17" s="9"/>
      <c r="F17" s="8" t="str">
        <f>IF(OR(D17="",D17=0),"",ROUND(E17/D17*100,1))</f>
        <v/>
      </c>
      <c r="G17" s="9"/>
      <c r="H17" s="9"/>
      <c r="I17" s="9"/>
      <c r="J17" s="8" t="str">
        <f>IF(OR(G17="",G17=0),"",ROUND(I17/G17*100,1))</f>
        <v/>
      </c>
      <c r="K17" s="8" t="str">
        <f>IF(OR(H17="",H17=0),"",ROUND(I17/H17*100,1))</f>
        <v/>
      </c>
      <c r="L17" s="14"/>
    </row>
    <row r="18" spans="1:12" ht="15.75" customHeight="1" x14ac:dyDescent="0.25">
      <c r="A18" s="8" t="s">
        <v>75</v>
      </c>
      <c r="B18" s="13" t="s">
        <v>76</v>
      </c>
      <c r="C18" s="8"/>
      <c r="D18" s="14"/>
      <c r="E18" s="14"/>
      <c r="F18" s="14"/>
      <c r="G18" s="14"/>
      <c r="H18" s="14"/>
      <c r="I18" s="14"/>
      <c r="J18" s="14"/>
      <c r="K18" s="14"/>
      <c r="L18" s="14"/>
    </row>
    <row r="19" spans="1:12" ht="15.75" customHeight="1" x14ac:dyDescent="0.25">
      <c r="A19" s="8" t="s">
        <v>77</v>
      </c>
      <c r="B19" s="13" t="s">
        <v>78</v>
      </c>
      <c r="C19" s="8"/>
      <c r="D19" s="14"/>
      <c r="E19" s="14"/>
      <c r="F19" s="14"/>
      <c r="G19" s="14"/>
      <c r="H19" s="14"/>
      <c r="I19" s="14"/>
      <c r="J19" s="14"/>
      <c r="K19" s="14"/>
      <c r="L19" s="14"/>
    </row>
    <row r="20" spans="1:12" ht="15.75" customHeight="1" x14ac:dyDescent="0.25">
      <c r="A20" s="8"/>
      <c r="B20" s="15" t="s">
        <v>79</v>
      </c>
      <c r="C20" s="8" t="s">
        <v>80</v>
      </c>
      <c r="D20" s="9"/>
      <c r="E20" s="9"/>
      <c r="F20" s="8" t="str">
        <f>IF(OR(D20="",D20=0),"",ROUND(E20/D20*100,1))</f>
        <v/>
      </c>
      <c r="G20" s="9"/>
      <c r="H20" s="9"/>
      <c r="I20" s="9"/>
      <c r="J20" s="8" t="str">
        <f>IF(OR(G20="",G20=0),"",ROUND(I20/G20*100,1))</f>
        <v/>
      </c>
      <c r="K20" s="8" t="str">
        <f>IF(OR(H20="",H20=0),"",ROUND(I20/H20*100,1))</f>
        <v/>
      </c>
      <c r="L20" s="14"/>
    </row>
    <row r="21" spans="1:12" ht="31.5" customHeight="1" x14ac:dyDescent="0.25">
      <c r="A21" s="8"/>
      <c r="B21" s="15" t="s">
        <v>81</v>
      </c>
      <c r="C21" s="8" t="s">
        <v>80</v>
      </c>
      <c r="D21" s="9"/>
      <c r="E21" s="9"/>
      <c r="F21" s="8" t="str">
        <f>IF(OR(D21="",D21=0),"",ROUND(E21/D21*100,1))</f>
        <v/>
      </c>
      <c r="G21" s="9"/>
      <c r="H21" s="9"/>
      <c r="I21" s="9"/>
      <c r="J21" s="8" t="str">
        <f>IF(OR(G21="",G21=0),"",ROUND(I21/G21*100,1))</f>
        <v/>
      </c>
      <c r="K21" s="8" t="str">
        <f>IF(OR(H21="",H21=0),"",ROUND(I21/H21*100,1))</f>
        <v/>
      </c>
      <c r="L21" s="14"/>
    </row>
    <row r="22" spans="1:12" ht="15.75" customHeight="1" x14ac:dyDescent="0.25">
      <c r="A22" s="8" t="s">
        <v>82</v>
      </c>
      <c r="B22" s="15" t="s">
        <v>83</v>
      </c>
      <c r="C22" s="8" t="s">
        <v>80</v>
      </c>
      <c r="D22" s="9"/>
      <c r="E22" s="9"/>
      <c r="F22" s="8" t="str">
        <f>IF(OR(D22="",D22=0),"",ROUND(E22/D22*100,1))</f>
        <v/>
      </c>
      <c r="G22" s="9"/>
      <c r="H22" s="9"/>
      <c r="I22" s="9"/>
      <c r="J22" s="8" t="str">
        <f>IF(OR(G22="",G22=0),"",ROUND(I22/G22*100,1))</f>
        <v/>
      </c>
      <c r="K22" s="8" t="str">
        <f>IF(OR(H22="",H22=0),"",ROUND(I22/H22*100,1))</f>
        <v/>
      </c>
      <c r="L22" s="14"/>
    </row>
    <row r="23" spans="1:12" ht="15.75" customHeight="1" x14ac:dyDescent="0.25">
      <c r="A23" s="8" t="s">
        <v>84</v>
      </c>
      <c r="B23" s="15" t="s">
        <v>85</v>
      </c>
      <c r="C23" s="8" t="s">
        <v>80</v>
      </c>
      <c r="D23" s="9"/>
      <c r="E23" s="9"/>
      <c r="F23" s="8" t="str">
        <f>IF(OR(D23="",D23=0),"",ROUND(E23/D23*100,1))</f>
        <v/>
      </c>
      <c r="G23" s="9"/>
      <c r="H23" s="9"/>
      <c r="I23" s="9"/>
      <c r="J23" s="8" t="str">
        <f>IF(OR(G23="",G23=0),"",ROUND(I23/G23*100,1))</f>
        <v/>
      </c>
      <c r="K23" s="8" t="str">
        <f>IF(OR(H23="",H23=0),"",ROUND(I23/H23*100,1))</f>
        <v/>
      </c>
      <c r="L23" s="14"/>
    </row>
    <row r="24" spans="1:12" ht="31.5" customHeight="1" x14ac:dyDescent="0.25">
      <c r="A24" s="8" t="s">
        <v>86</v>
      </c>
      <c r="B24" s="13" t="s">
        <v>87</v>
      </c>
      <c r="C24" s="8"/>
      <c r="D24" s="14"/>
      <c r="E24" s="14"/>
      <c r="F24" s="14"/>
      <c r="G24" s="14"/>
      <c r="H24" s="14"/>
      <c r="I24" s="14"/>
      <c r="J24" s="14"/>
      <c r="K24" s="14"/>
      <c r="L24" s="14"/>
    </row>
    <row r="25" spans="1:12" ht="15.75" customHeight="1" x14ac:dyDescent="0.25">
      <c r="A25" s="8" t="s">
        <v>88</v>
      </c>
      <c r="B25" s="13" t="s">
        <v>89</v>
      </c>
      <c r="C25" s="8"/>
      <c r="D25" s="14"/>
      <c r="E25" s="14"/>
      <c r="F25" s="14"/>
      <c r="G25" s="14"/>
      <c r="H25" s="14"/>
      <c r="I25" s="14"/>
      <c r="J25" s="14"/>
      <c r="K25" s="14"/>
      <c r="L25" s="14"/>
    </row>
    <row r="26" spans="1:12" ht="15.75" customHeight="1" x14ac:dyDescent="0.25">
      <c r="A26" s="8"/>
      <c r="B26" s="15" t="s">
        <v>90</v>
      </c>
      <c r="C26" s="8" t="s">
        <v>91</v>
      </c>
      <c r="D26" s="9"/>
      <c r="E26" s="9"/>
      <c r="F26" s="8" t="str">
        <f>IF(OR(D26="",D26=0),"",ROUND(E26/D26*100,1))</f>
        <v/>
      </c>
      <c r="G26" s="9"/>
      <c r="H26" s="9"/>
      <c r="I26" s="9"/>
      <c r="J26" s="8" t="str">
        <f>IF(OR(G26="",G26=0),"",ROUND(I26/G26*100,1))</f>
        <v/>
      </c>
      <c r="K26" s="8" t="str">
        <f>IF(OR(H26="",H26=0),"",ROUND(I26/H26*100,1))</f>
        <v/>
      </c>
      <c r="L26" s="14"/>
    </row>
    <row r="27" spans="1:12" ht="15.75" customHeight="1" x14ac:dyDescent="0.25">
      <c r="A27" s="8"/>
      <c r="B27" s="15" t="s">
        <v>92</v>
      </c>
      <c r="C27" s="8" t="s">
        <v>93</v>
      </c>
      <c r="D27" s="9"/>
      <c r="E27" s="9"/>
      <c r="F27" s="8" t="str">
        <f>IF(OR(D27="",D27=0),"",ROUND(E27/D27*100,1))</f>
        <v/>
      </c>
      <c r="G27" s="9"/>
      <c r="H27" s="9"/>
      <c r="I27" s="9"/>
      <c r="J27" s="8" t="str">
        <f>IF(OR(G27="",G27=0),"",ROUND(I27/G27*100,1))</f>
        <v/>
      </c>
      <c r="K27" s="8" t="str">
        <f>IF(OR(H27="",H27=0),"",ROUND(I27/H27*100,1))</f>
        <v/>
      </c>
      <c r="L27" s="14"/>
    </row>
    <row r="28" spans="1:12" ht="15.75" customHeight="1" x14ac:dyDescent="0.25">
      <c r="A28" s="8" t="s">
        <v>94</v>
      </c>
      <c r="B28" s="15" t="s">
        <v>95</v>
      </c>
      <c r="C28" s="8" t="s">
        <v>96</v>
      </c>
      <c r="D28" s="9"/>
      <c r="E28" s="9"/>
      <c r="F28" s="8" t="str">
        <f>IF(OR(D28="",D28=0),"",ROUND(E28/D28*100,1))</f>
        <v/>
      </c>
      <c r="G28" s="9"/>
      <c r="H28" s="9"/>
      <c r="I28" s="9"/>
      <c r="J28" s="8" t="str">
        <f>IF(OR(G28="",G28=0),"",ROUND(I28/G28*100,1))</f>
        <v/>
      </c>
      <c r="K28" s="8" t="str">
        <f>IF(OR(H28="",H28=0),"",ROUND(I28/H28*100,1))</f>
        <v/>
      </c>
      <c r="L28" s="14"/>
    </row>
    <row r="29" spans="1:12" ht="15.75" customHeight="1" x14ac:dyDescent="0.25">
      <c r="A29" s="8" t="s">
        <v>97</v>
      </c>
      <c r="B29" s="15" t="s">
        <v>98</v>
      </c>
      <c r="C29" s="8" t="s">
        <v>96</v>
      </c>
      <c r="D29" s="9"/>
      <c r="E29" s="9"/>
      <c r="F29" s="8" t="str">
        <f>IF(OR(D29="",D29=0),"",ROUND(E29/D29*100,1))</f>
        <v/>
      </c>
      <c r="G29" s="9"/>
      <c r="H29" s="9"/>
      <c r="I29" s="9"/>
      <c r="J29" s="8" t="str">
        <f>IF(OR(G29="",G29=0),"",ROUND(I29/G29*100,1))</f>
        <v/>
      </c>
      <c r="K29" s="8" t="str">
        <f>IF(OR(H29="",H29=0),"",ROUND(I29/H29*100,1))</f>
        <v/>
      </c>
      <c r="L29" s="14"/>
    </row>
  </sheetData>
  <mergeCells count="13">
    <mergeCell ref="A1:L1"/>
    <mergeCell ref="A2:L2"/>
    <mergeCell ref="A3:L3"/>
    <mergeCell ref="A5:L5"/>
    <mergeCell ref="A6:L6"/>
    <mergeCell ref="I8:I9"/>
    <mergeCell ref="J8:K8"/>
    <mergeCell ref="L8:L9"/>
    <mergeCell ref="A8:A9"/>
    <mergeCell ref="B8:B9"/>
    <mergeCell ref="C8:C9"/>
    <mergeCell ref="D8:F8"/>
    <mergeCell ref="G8:H8"/>
  </mergeCells>
  <pageMargins left="0.75" right="0.62013888888888902" top="0.49027777777777798" bottom="0.47986111111111102" header="0.511811023622047" footer="0.511811023622047"/>
  <pageSetup paperSize="9" scale="85"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topLeftCell="A46" zoomScale="85" zoomScaleNormal="85" workbookViewId="0">
      <selection activeCell="I15" sqref="I15"/>
    </sheetView>
  </sheetViews>
  <sheetFormatPr defaultColWidth="8.7109375" defaultRowHeight="15" x14ac:dyDescent="0.25"/>
  <cols>
    <col min="1" max="1" width="6" style="1" customWidth="1"/>
    <col min="2" max="2" width="40" style="1" customWidth="1"/>
    <col min="3" max="3" width="10" style="1" customWidth="1"/>
    <col min="4" max="5" width="11" style="1" customWidth="1"/>
    <col min="6" max="6" width="9" style="1" customWidth="1"/>
    <col min="7" max="11" width="11" style="1" customWidth="1"/>
    <col min="12" max="12" width="18" style="1" customWidth="1"/>
    <col min="13" max="13" width="15.42578125" style="1" customWidth="1"/>
    <col min="14" max="14" width="12" style="1" customWidth="1"/>
  </cols>
  <sheetData>
    <row r="1" spans="1:14" ht="16.5" customHeight="1" x14ac:dyDescent="0.25">
      <c r="A1" s="28" t="s">
        <v>99</v>
      </c>
      <c r="B1" s="28"/>
      <c r="C1" s="28"/>
      <c r="D1" s="28"/>
      <c r="E1" s="28"/>
      <c r="F1" s="28"/>
      <c r="G1" s="28"/>
      <c r="H1" s="28"/>
      <c r="I1" s="28"/>
      <c r="J1" s="28"/>
      <c r="K1" s="28"/>
      <c r="L1" s="28"/>
      <c r="M1" s="28"/>
      <c r="N1" s="28"/>
    </row>
    <row r="2" spans="1:14" ht="16.5" customHeight="1" x14ac:dyDescent="0.25">
      <c r="A2" s="16" t="s">
        <v>1</v>
      </c>
    </row>
    <row r="3" spans="1:14" ht="16.5" customHeight="1" x14ac:dyDescent="0.25">
      <c r="A3" s="16" t="s">
        <v>2</v>
      </c>
    </row>
    <row r="4" spans="1:14" ht="16.5" customHeight="1" x14ac:dyDescent="0.25">
      <c r="A4" s="16"/>
    </row>
    <row r="5" spans="1:14" ht="15.75" customHeight="1" x14ac:dyDescent="0.25">
      <c r="A5" s="26" t="s">
        <v>46</v>
      </c>
      <c r="B5" s="26"/>
      <c r="C5" s="26"/>
      <c r="D5" s="26"/>
      <c r="E5" s="26"/>
      <c r="F5" s="26"/>
      <c r="G5" s="26"/>
      <c r="H5" s="26"/>
      <c r="I5" s="26"/>
      <c r="J5" s="26"/>
      <c r="K5" s="26"/>
      <c r="L5" s="26"/>
      <c r="M5" s="26"/>
      <c r="N5" s="26"/>
    </row>
    <row r="6" spans="1:14" ht="15" customHeight="1" x14ac:dyDescent="0.25">
      <c r="A6" s="25" t="s">
        <v>100</v>
      </c>
      <c r="B6" s="25"/>
      <c r="C6" s="25"/>
      <c r="D6" s="25"/>
      <c r="E6" s="25"/>
      <c r="F6" s="25"/>
      <c r="G6" s="25"/>
      <c r="H6" s="25"/>
      <c r="I6" s="25"/>
      <c r="J6" s="25"/>
      <c r="K6" s="25"/>
      <c r="L6" s="25"/>
      <c r="M6" s="25"/>
      <c r="N6" s="25"/>
    </row>
    <row r="7" spans="1:14" ht="15.75" customHeight="1" x14ac:dyDescent="0.25">
      <c r="A7" s="26" t="s">
        <v>6</v>
      </c>
      <c r="B7" s="26"/>
      <c r="C7" s="26"/>
      <c r="D7" s="26"/>
      <c r="E7" s="26"/>
      <c r="F7" s="26"/>
      <c r="G7" s="26"/>
      <c r="H7" s="26"/>
      <c r="I7" s="26"/>
      <c r="J7" s="26"/>
      <c r="K7" s="26"/>
      <c r="L7" s="26"/>
      <c r="M7" s="26"/>
      <c r="N7" s="26"/>
    </row>
    <row r="8" spans="1:14" ht="15.75" customHeight="1" x14ac:dyDescent="0.25">
      <c r="A8" s="12"/>
      <c r="B8" s="12"/>
      <c r="C8" s="12"/>
      <c r="D8" s="12"/>
      <c r="E8" s="12"/>
      <c r="F8" s="12"/>
      <c r="G8" s="12"/>
      <c r="H8" s="12"/>
      <c r="I8" s="12"/>
      <c r="J8" s="12"/>
      <c r="K8" s="12"/>
      <c r="N8" s="12"/>
    </row>
    <row r="9" spans="1:14" ht="48.75" customHeight="1" x14ac:dyDescent="0.25">
      <c r="A9" s="27" t="s">
        <v>47</v>
      </c>
      <c r="B9" s="27" t="s">
        <v>48</v>
      </c>
      <c r="C9" s="27" t="s">
        <v>49</v>
      </c>
      <c r="D9" s="27" t="s">
        <v>50</v>
      </c>
      <c r="E9" s="27"/>
      <c r="F9" s="27"/>
      <c r="G9" s="27" t="s">
        <v>51</v>
      </c>
      <c r="H9" s="27"/>
      <c r="I9" s="27" t="s">
        <v>52</v>
      </c>
      <c r="J9" s="27" t="s">
        <v>53</v>
      </c>
      <c r="K9" s="27"/>
      <c r="L9" s="33" t="s">
        <v>194</v>
      </c>
      <c r="M9" s="33" t="s">
        <v>193</v>
      </c>
      <c r="N9" s="27" t="s">
        <v>15</v>
      </c>
    </row>
    <row r="10" spans="1:14" ht="47.25" customHeight="1" x14ac:dyDescent="0.25">
      <c r="A10" s="27"/>
      <c r="B10" s="27"/>
      <c r="C10" s="27"/>
      <c r="D10" s="3" t="s">
        <v>54</v>
      </c>
      <c r="E10" s="3" t="s">
        <v>55</v>
      </c>
      <c r="F10" s="3" t="s">
        <v>56</v>
      </c>
      <c r="G10" s="3" t="s">
        <v>101</v>
      </c>
      <c r="H10" s="3" t="s">
        <v>58</v>
      </c>
      <c r="I10" s="27"/>
      <c r="J10" s="3" t="s">
        <v>102</v>
      </c>
      <c r="K10" s="3" t="s">
        <v>60</v>
      </c>
      <c r="L10" s="34"/>
      <c r="M10" s="34"/>
      <c r="N10" s="27"/>
    </row>
    <row r="11" spans="1:14" ht="15" customHeight="1" x14ac:dyDescent="0.25">
      <c r="A11" s="4" t="s">
        <v>19</v>
      </c>
      <c r="B11" s="4" t="s">
        <v>20</v>
      </c>
      <c r="C11" s="4" t="s">
        <v>21</v>
      </c>
      <c r="D11" s="4" t="s">
        <v>22</v>
      </c>
      <c r="E11" s="4" t="s">
        <v>23</v>
      </c>
      <c r="F11" s="4" t="s">
        <v>24</v>
      </c>
      <c r="G11" s="4" t="s">
        <v>25</v>
      </c>
      <c r="H11" s="4" t="s">
        <v>26</v>
      </c>
      <c r="I11" s="4" t="s">
        <v>27</v>
      </c>
      <c r="J11" s="4" t="s">
        <v>28</v>
      </c>
      <c r="K11" s="4" t="s">
        <v>29</v>
      </c>
      <c r="L11" s="4" t="s">
        <v>61</v>
      </c>
      <c r="M11" s="4" t="s">
        <v>103</v>
      </c>
      <c r="N11" s="4" t="s">
        <v>104</v>
      </c>
    </row>
    <row r="12" spans="1:14" ht="15.75" customHeight="1" x14ac:dyDescent="0.25">
      <c r="A12" s="10" t="s">
        <v>30</v>
      </c>
      <c r="B12" s="13" t="s">
        <v>62</v>
      </c>
      <c r="C12" s="14"/>
      <c r="D12" s="14"/>
      <c r="E12" s="14"/>
      <c r="F12" s="14"/>
      <c r="G12" s="14"/>
      <c r="H12" s="14"/>
      <c r="I12" s="14"/>
      <c r="J12" s="14"/>
      <c r="K12" s="14"/>
      <c r="L12" s="19"/>
      <c r="M12" s="19"/>
      <c r="N12" s="14"/>
    </row>
    <row r="13" spans="1:14" ht="15.75" customHeight="1" x14ac:dyDescent="0.25">
      <c r="A13" s="8"/>
      <c r="B13" s="15" t="s">
        <v>63</v>
      </c>
      <c r="C13" s="8" t="s">
        <v>64</v>
      </c>
      <c r="D13" s="9"/>
      <c r="E13" s="9"/>
      <c r="F13" s="8" t="str">
        <f>IF(OR(D13="",D13=0),"",ROUND(E13/D13*100,1))</f>
        <v/>
      </c>
      <c r="G13" s="9"/>
      <c r="H13" s="9"/>
      <c r="I13" s="9"/>
      <c r="J13" s="8" t="str">
        <f>IF(OR(G13="",G13=0),"",ROUND(I13/G13*100,1))</f>
        <v/>
      </c>
      <c r="K13" s="8" t="str">
        <f>IF(OR(H13="",H13=0),"",ROUND(I13/H13*100,1))</f>
        <v/>
      </c>
      <c r="L13" s="20"/>
      <c r="M13" s="20"/>
      <c r="N13" s="14"/>
    </row>
    <row r="14" spans="1:14" ht="15.75" customHeight="1" x14ac:dyDescent="0.25">
      <c r="A14" s="10" t="s">
        <v>65</v>
      </c>
      <c r="B14" s="13" t="s">
        <v>66</v>
      </c>
      <c r="C14" s="14"/>
      <c r="D14" s="14"/>
      <c r="E14" s="14"/>
      <c r="F14" s="14"/>
      <c r="G14" s="14"/>
      <c r="H14" s="14"/>
      <c r="I14" s="14"/>
      <c r="J14" s="14"/>
      <c r="K14" s="14"/>
      <c r="L14" s="19"/>
      <c r="M14" s="19"/>
      <c r="N14" s="14"/>
    </row>
    <row r="15" spans="1:14" ht="15.75" customHeight="1" x14ac:dyDescent="0.25">
      <c r="A15" s="8"/>
      <c r="B15" s="17" t="s">
        <v>105</v>
      </c>
      <c r="C15" s="8" t="s">
        <v>64</v>
      </c>
      <c r="D15" s="9"/>
      <c r="E15" s="9"/>
      <c r="F15" s="8" t="str">
        <f>IF(OR(D15="",D15=0),"",ROUND(E15/D15*100,1))</f>
        <v/>
      </c>
      <c r="G15" s="9"/>
      <c r="H15" s="9"/>
      <c r="I15" s="9"/>
      <c r="J15" s="8" t="str">
        <f>IF(OR(G15="",G15=0),"",ROUND(I15/G15*100,1))</f>
        <v/>
      </c>
      <c r="K15" s="8" t="str">
        <f>IF(OR(H15="",H15=0),"",ROUND(I15/H15*100,1))</f>
        <v/>
      </c>
      <c r="L15" s="20"/>
      <c r="M15" s="20"/>
      <c r="N15" s="8"/>
    </row>
    <row r="16" spans="1:14" ht="15.75" customHeight="1" x14ac:dyDescent="0.25">
      <c r="A16" s="8"/>
      <c r="B16" s="17" t="s">
        <v>106</v>
      </c>
      <c r="C16" s="8" t="s">
        <v>64</v>
      </c>
      <c r="D16" s="9"/>
      <c r="E16" s="9"/>
      <c r="F16" s="8"/>
      <c r="G16" s="9"/>
      <c r="H16" s="9"/>
      <c r="I16" s="9"/>
      <c r="J16" s="8"/>
      <c r="K16" s="8"/>
      <c r="L16" s="20"/>
      <c r="M16" s="20"/>
      <c r="N16" s="8"/>
    </row>
    <row r="17" spans="1:14" ht="15.75" customHeight="1" x14ac:dyDescent="0.25">
      <c r="A17" s="10" t="s">
        <v>68</v>
      </c>
      <c r="B17" s="13" t="s">
        <v>69</v>
      </c>
      <c r="C17" s="14"/>
      <c r="D17" s="14"/>
      <c r="E17" s="14"/>
      <c r="F17" s="14"/>
      <c r="G17" s="14"/>
      <c r="H17" s="14"/>
      <c r="I17" s="14"/>
      <c r="J17" s="14"/>
      <c r="K17" s="14"/>
      <c r="L17" s="19"/>
      <c r="M17" s="19"/>
      <c r="N17" s="14"/>
    </row>
    <row r="18" spans="1:14" ht="15.75" customHeight="1" x14ac:dyDescent="0.25">
      <c r="A18" s="8" t="s">
        <v>70</v>
      </c>
      <c r="B18" s="15" t="s">
        <v>71</v>
      </c>
      <c r="C18" s="8" t="s">
        <v>72</v>
      </c>
      <c r="D18" s="9"/>
      <c r="E18" s="9"/>
      <c r="F18" s="8" t="str">
        <f>IF(OR(D18="",D18=0),"",ROUND(E18/D18*100,1))</f>
        <v/>
      </c>
      <c r="G18" s="9"/>
      <c r="H18" s="9"/>
      <c r="I18" s="9"/>
      <c r="J18" s="8" t="str">
        <f>IF(OR(G18="",G18=0),"",ROUND(I18/G18*100,1))</f>
        <v/>
      </c>
      <c r="K18" s="8" t="str">
        <f>IF(OR(H18="",H18=0),"",ROUND(I18/H18*100,1))</f>
        <v/>
      </c>
      <c r="L18" s="20"/>
      <c r="M18" s="20"/>
      <c r="N18" s="8"/>
    </row>
    <row r="19" spans="1:14" ht="15.75" customHeight="1" x14ac:dyDescent="0.25">
      <c r="A19" s="8" t="s">
        <v>73</v>
      </c>
      <c r="B19" s="15" t="s">
        <v>74</v>
      </c>
      <c r="C19" s="8" t="s">
        <v>64</v>
      </c>
      <c r="D19" s="9"/>
      <c r="E19" s="9"/>
      <c r="F19" s="8" t="str">
        <f>IF(OR(D19="",D19=0),"",ROUND(E19/D19*100,1))</f>
        <v/>
      </c>
      <c r="G19" s="9"/>
      <c r="H19" s="9"/>
      <c r="I19" s="9"/>
      <c r="J19" s="8" t="str">
        <f>IF(OR(G19="",G19=0),"",ROUND(I19/G19*100,1))</f>
        <v/>
      </c>
      <c r="K19" s="8" t="str">
        <f>IF(OR(H19="",H19=0),"",ROUND(I19/H19*100,1))</f>
        <v/>
      </c>
      <c r="L19" s="20"/>
      <c r="M19" s="20"/>
      <c r="N19" s="8"/>
    </row>
    <row r="20" spans="1:14" ht="15.75" customHeight="1" x14ac:dyDescent="0.25">
      <c r="A20" s="8" t="s">
        <v>107</v>
      </c>
      <c r="B20" s="15" t="s">
        <v>108</v>
      </c>
      <c r="C20" s="8" t="s">
        <v>93</v>
      </c>
      <c r="D20" s="9"/>
      <c r="E20" s="9"/>
      <c r="F20" s="8" t="str">
        <f>IF(OR(D20="",D20=0),"",ROUND(E20/D20*100,1))</f>
        <v/>
      </c>
      <c r="G20" s="9"/>
      <c r="H20" s="9"/>
      <c r="I20" s="9"/>
      <c r="J20" s="8" t="str">
        <f>IF(OR(G20="",G20=0),"",ROUND(I20/G20*100,1))</f>
        <v/>
      </c>
      <c r="K20" s="8" t="str">
        <f>IF(OR(H20="",H20=0),"",ROUND(I20/H20*100,1))</f>
        <v/>
      </c>
      <c r="L20" s="20"/>
      <c r="M20" s="20"/>
      <c r="N20" s="14"/>
    </row>
    <row r="21" spans="1:14" ht="15.75" customHeight="1" x14ac:dyDescent="0.25">
      <c r="A21" s="8" t="s">
        <v>109</v>
      </c>
      <c r="B21" s="15" t="s">
        <v>110</v>
      </c>
      <c r="C21" s="8" t="s">
        <v>111</v>
      </c>
      <c r="D21" s="9"/>
      <c r="E21" s="9"/>
      <c r="F21" s="8" t="str">
        <f>IF(OR(D21="",D21=0),"",ROUND(E21/D21*100,1))</f>
        <v/>
      </c>
      <c r="G21" s="9"/>
      <c r="H21" s="9"/>
      <c r="I21" s="9"/>
      <c r="J21" s="8" t="str">
        <f>IF(OR(G21="",G21=0),"",ROUND(I21/G21*100,1))</f>
        <v/>
      </c>
      <c r="K21" s="8" t="str">
        <f>IF(OR(H21="",H21=0),"",ROUND(I21/H21*100,1))</f>
        <v/>
      </c>
      <c r="L21" s="20"/>
      <c r="M21" s="20"/>
      <c r="N21" s="14"/>
    </row>
    <row r="22" spans="1:14" ht="15.75" customHeight="1" x14ac:dyDescent="0.25">
      <c r="A22" s="10" t="s">
        <v>75</v>
      </c>
      <c r="B22" s="13" t="s">
        <v>76</v>
      </c>
      <c r="C22" s="14"/>
      <c r="D22" s="14"/>
      <c r="E22" s="14"/>
      <c r="F22" s="14"/>
      <c r="G22" s="14"/>
      <c r="H22" s="14"/>
      <c r="I22" s="14"/>
      <c r="J22" s="14"/>
      <c r="K22" s="14"/>
      <c r="L22" s="19"/>
      <c r="M22" s="19"/>
      <c r="N22" s="14"/>
    </row>
    <row r="23" spans="1:14" ht="15.75" customHeight="1" x14ac:dyDescent="0.25">
      <c r="A23" s="8" t="s">
        <v>77</v>
      </c>
      <c r="B23" s="13" t="s">
        <v>78</v>
      </c>
      <c r="C23" s="8"/>
      <c r="D23" s="14"/>
      <c r="E23" s="14"/>
      <c r="F23" s="14"/>
      <c r="G23" s="14"/>
      <c r="H23" s="14"/>
      <c r="I23" s="14"/>
      <c r="J23" s="14"/>
      <c r="K23" s="14"/>
      <c r="L23" s="19"/>
      <c r="M23" s="19"/>
      <c r="N23" s="14"/>
    </row>
    <row r="24" spans="1:14" ht="15.75" customHeight="1" x14ac:dyDescent="0.25">
      <c r="A24" s="8"/>
      <c r="B24" s="15" t="s">
        <v>79</v>
      </c>
      <c r="C24" s="8" t="s">
        <v>80</v>
      </c>
      <c r="D24" s="9"/>
      <c r="E24" s="9"/>
      <c r="F24" s="8" t="str">
        <f t="shared" ref="F24:F34" si="0">IF(OR(D24="",D24=0),"",ROUND(E24/D24*100,1))</f>
        <v/>
      </c>
      <c r="G24" s="9"/>
      <c r="H24" s="9"/>
      <c r="I24" s="9"/>
      <c r="J24" s="8" t="str">
        <f t="shared" ref="J24:J34" si="1">IF(OR(G24="",G24=0),"",ROUND(I24/G24*100,1))</f>
        <v/>
      </c>
      <c r="K24" s="8" t="str">
        <f t="shared" ref="K24:K34" si="2">IF(OR(H24="",H24=0),"",ROUND(I24/H24*100,1))</f>
        <v/>
      </c>
      <c r="L24" s="20"/>
      <c r="M24" s="20"/>
      <c r="N24" s="8"/>
    </row>
    <row r="25" spans="1:14" ht="31.5" customHeight="1" x14ac:dyDescent="0.25">
      <c r="A25" s="8"/>
      <c r="B25" s="15" t="s">
        <v>81</v>
      </c>
      <c r="C25" s="8" t="s">
        <v>80</v>
      </c>
      <c r="D25" s="9"/>
      <c r="E25" s="9"/>
      <c r="F25" s="8" t="str">
        <f t="shared" si="0"/>
        <v/>
      </c>
      <c r="G25" s="9"/>
      <c r="H25" s="9"/>
      <c r="I25" s="9"/>
      <c r="J25" s="8" t="str">
        <f t="shared" si="1"/>
        <v/>
      </c>
      <c r="K25" s="8" t="str">
        <f t="shared" si="2"/>
        <v/>
      </c>
      <c r="L25" s="20"/>
      <c r="M25" s="20"/>
      <c r="N25" s="14"/>
    </row>
    <row r="26" spans="1:14" ht="15.75" customHeight="1" x14ac:dyDescent="0.25">
      <c r="A26" s="8" t="s">
        <v>82</v>
      </c>
      <c r="B26" s="15" t="s">
        <v>83</v>
      </c>
      <c r="C26" s="8" t="s">
        <v>80</v>
      </c>
      <c r="D26" s="9"/>
      <c r="E26" s="9"/>
      <c r="F26" s="8" t="str">
        <f t="shared" si="0"/>
        <v/>
      </c>
      <c r="G26" s="9"/>
      <c r="H26" s="9"/>
      <c r="I26" s="9"/>
      <c r="J26" s="8" t="str">
        <f t="shared" si="1"/>
        <v/>
      </c>
      <c r="K26" s="8" t="str">
        <f t="shared" si="2"/>
        <v/>
      </c>
      <c r="L26" s="20"/>
      <c r="M26" s="20"/>
      <c r="N26" s="14"/>
    </row>
    <row r="27" spans="1:14" ht="15.75" customHeight="1" x14ac:dyDescent="0.25">
      <c r="A27" s="8" t="s">
        <v>84</v>
      </c>
      <c r="B27" s="15" t="s">
        <v>85</v>
      </c>
      <c r="C27" s="8" t="s">
        <v>80</v>
      </c>
      <c r="D27" s="9"/>
      <c r="E27" s="9"/>
      <c r="F27" s="8" t="str">
        <f t="shared" si="0"/>
        <v/>
      </c>
      <c r="G27" s="9"/>
      <c r="H27" s="9"/>
      <c r="I27" s="9"/>
      <c r="J27" s="8" t="str">
        <f t="shared" si="1"/>
        <v/>
      </c>
      <c r="K27" s="8" t="str">
        <f t="shared" si="2"/>
        <v/>
      </c>
      <c r="L27" s="20"/>
      <c r="M27" s="20"/>
      <c r="N27" s="14"/>
    </row>
    <row r="28" spans="1:14" ht="15.75" customHeight="1" x14ac:dyDescent="0.25">
      <c r="A28" s="8" t="s">
        <v>112</v>
      </c>
      <c r="B28" s="15" t="s">
        <v>113</v>
      </c>
      <c r="C28" s="8" t="s">
        <v>80</v>
      </c>
      <c r="D28" s="9"/>
      <c r="E28" s="9"/>
      <c r="F28" s="8" t="str">
        <f t="shared" si="0"/>
        <v/>
      </c>
      <c r="G28" s="9"/>
      <c r="H28" s="9"/>
      <c r="I28" s="9"/>
      <c r="J28" s="8" t="str">
        <f t="shared" si="1"/>
        <v/>
      </c>
      <c r="K28" s="8" t="str">
        <f t="shared" si="2"/>
        <v/>
      </c>
      <c r="L28" s="20"/>
      <c r="M28" s="20"/>
      <c r="N28" s="14"/>
    </row>
    <row r="29" spans="1:14" ht="31.5" customHeight="1" x14ac:dyDescent="0.25">
      <c r="A29" s="8">
        <v>4.5</v>
      </c>
      <c r="B29" s="15" t="s">
        <v>114</v>
      </c>
      <c r="C29" s="8" t="s">
        <v>115</v>
      </c>
      <c r="D29" s="9"/>
      <c r="E29" s="9"/>
      <c r="F29" s="8" t="str">
        <f t="shared" si="0"/>
        <v/>
      </c>
      <c r="G29" s="9"/>
      <c r="H29" s="9"/>
      <c r="I29" s="9"/>
      <c r="J29" s="8" t="str">
        <f t="shared" si="1"/>
        <v/>
      </c>
      <c r="K29" s="8" t="str">
        <f t="shared" si="2"/>
        <v/>
      </c>
      <c r="L29" s="20"/>
      <c r="M29" s="20"/>
      <c r="N29" s="8"/>
    </row>
    <row r="30" spans="1:14" ht="15.75" customHeight="1" x14ac:dyDescent="0.25">
      <c r="A30" s="8">
        <v>4.5999999999999996</v>
      </c>
      <c r="B30" s="15" t="s">
        <v>116</v>
      </c>
      <c r="C30" s="8" t="s">
        <v>96</v>
      </c>
      <c r="D30" s="9"/>
      <c r="E30" s="9"/>
      <c r="F30" s="8" t="str">
        <f t="shared" si="0"/>
        <v/>
      </c>
      <c r="G30" s="9"/>
      <c r="H30" s="9"/>
      <c r="I30" s="9"/>
      <c r="J30" s="8" t="str">
        <f t="shared" si="1"/>
        <v/>
      </c>
      <c r="K30" s="8" t="str">
        <f t="shared" si="2"/>
        <v/>
      </c>
      <c r="L30" s="20"/>
      <c r="M30" s="20"/>
      <c r="N30" s="14"/>
    </row>
    <row r="31" spans="1:14" ht="15.75" customHeight="1" x14ac:dyDescent="0.25">
      <c r="A31" s="8">
        <v>4.7</v>
      </c>
      <c r="B31" s="15" t="s">
        <v>117</v>
      </c>
      <c r="C31" s="8" t="s">
        <v>118</v>
      </c>
      <c r="D31" s="9"/>
      <c r="E31" s="9"/>
      <c r="F31" s="8" t="str">
        <f t="shared" si="0"/>
        <v/>
      </c>
      <c r="G31" s="9"/>
      <c r="H31" s="9"/>
      <c r="I31" s="9"/>
      <c r="J31" s="8" t="str">
        <f t="shared" si="1"/>
        <v/>
      </c>
      <c r="K31" s="8" t="str">
        <f t="shared" si="2"/>
        <v/>
      </c>
      <c r="L31" s="20"/>
      <c r="M31" s="20"/>
      <c r="N31" s="8"/>
    </row>
    <row r="32" spans="1:14" ht="15.75" customHeight="1" x14ac:dyDescent="0.25">
      <c r="A32" s="8">
        <v>4.8</v>
      </c>
      <c r="B32" s="15" t="s">
        <v>119</v>
      </c>
      <c r="C32" s="8" t="s">
        <v>118</v>
      </c>
      <c r="D32" s="9"/>
      <c r="E32" s="9"/>
      <c r="F32" s="8" t="str">
        <f t="shared" si="0"/>
        <v/>
      </c>
      <c r="G32" s="9"/>
      <c r="H32" s="9"/>
      <c r="I32" s="9"/>
      <c r="J32" s="8" t="str">
        <f t="shared" si="1"/>
        <v/>
      </c>
      <c r="K32" s="8" t="str">
        <f t="shared" si="2"/>
        <v/>
      </c>
      <c r="L32" s="20"/>
      <c r="M32" s="20"/>
      <c r="N32" s="8"/>
    </row>
    <row r="33" spans="1:14" ht="15.75" customHeight="1" x14ac:dyDescent="0.25">
      <c r="A33" s="8">
        <v>4.9000000000000004</v>
      </c>
      <c r="B33" s="15" t="s">
        <v>120</v>
      </c>
      <c r="C33" s="8" t="s">
        <v>118</v>
      </c>
      <c r="D33" s="9"/>
      <c r="E33" s="9"/>
      <c r="F33" s="8" t="str">
        <f t="shared" si="0"/>
        <v/>
      </c>
      <c r="G33" s="9"/>
      <c r="H33" s="9"/>
      <c r="I33" s="9"/>
      <c r="J33" s="8" t="str">
        <f t="shared" si="1"/>
        <v/>
      </c>
      <c r="K33" s="8" t="str">
        <f t="shared" si="2"/>
        <v/>
      </c>
      <c r="L33" s="20"/>
      <c r="M33" s="20"/>
      <c r="N33" s="8"/>
    </row>
    <row r="34" spans="1:14" ht="31.5" customHeight="1" x14ac:dyDescent="0.25">
      <c r="A34" s="18" t="s">
        <v>121</v>
      </c>
      <c r="B34" s="15" t="s">
        <v>122</v>
      </c>
      <c r="C34" s="8" t="s">
        <v>123</v>
      </c>
      <c r="D34" s="9"/>
      <c r="E34" s="9"/>
      <c r="F34" s="8" t="str">
        <f t="shared" si="0"/>
        <v/>
      </c>
      <c r="G34" s="9"/>
      <c r="H34" s="9"/>
      <c r="I34" s="9"/>
      <c r="J34" s="8" t="str">
        <f t="shared" si="1"/>
        <v/>
      </c>
      <c r="K34" s="8" t="str">
        <f t="shared" si="2"/>
        <v/>
      </c>
      <c r="L34" s="20"/>
      <c r="M34" s="20"/>
      <c r="N34" s="14"/>
    </row>
    <row r="35" spans="1:14" ht="31.5" customHeight="1" x14ac:dyDescent="0.25">
      <c r="A35" s="10" t="s">
        <v>86</v>
      </c>
      <c r="B35" s="13" t="s">
        <v>87</v>
      </c>
      <c r="C35" s="14"/>
      <c r="D35" s="14"/>
      <c r="E35" s="14"/>
      <c r="F35" s="14"/>
      <c r="G35" s="14"/>
      <c r="H35" s="14"/>
      <c r="I35" s="14"/>
      <c r="J35" s="14"/>
      <c r="K35" s="14"/>
      <c r="L35" s="19"/>
      <c r="M35" s="19"/>
      <c r="N35" s="14"/>
    </row>
    <row r="36" spans="1:14" ht="15.75" customHeight="1" x14ac:dyDescent="0.25">
      <c r="A36" s="8" t="s">
        <v>88</v>
      </c>
      <c r="B36" s="13" t="s">
        <v>89</v>
      </c>
      <c r="C36" s="8"/>
      <c r="D36" s="14"/>
      <c r="E36" s="14"/>
      <c r="F36" s="14"/>
      <c r="G36" s="14"/>
      <c r="H36" s="14"/>
      <c r="I36" s="14"/>
      <c r="J36" s="14"/>
      <c r="K36" s="14"/>
      <c r="L36" s="19"/>
      <c r="M36" s="19"/>
      <c r="N36" s="14"/>
    </row>
    <row r="37" spans="1:14" ht="15.75" customHeight="1" x14ac:dyDescent="0.25">
      <c r="A37" s="8"/>
      <c r="B37" s="15" t="s">
        <v>90</v>
      </c>
      <c r="C37" s="8" t="s">
        <v>91</v>
      </c>
      <c r="D37" s="9"/>
      <c r="E37" s="9"/>
      <c r="F37" s="8" t="str">
        <f>IF(OR(D37="",D37=0),"",ROUND(E37/D37*100,1))</f>
        <v/>
      </c>
      <c r="G37" s="9"/>
      <c r="H37" s="9"/>
      <c r="I37" s="9"/>
      <c r="J37" s="8" t="str">
        <f>IF(OR(G37="",G37=0),"",ROUND(I37/G37*100,1))</f>
        <v/>
      </c>
      <c r="K37" s="8" t="str">
        <f>IF(OR(H37="",H37=0),"",ROUND(I37/H37*100,1))</f>
        <v/>
      </c>
      <c r="L37" s="20"/>
      <c r="M37" s="20"/>
      <c r="N37" s="14"/>
    </row>
    <row r="38" spans="1:14" ht="15.75" customHeight="1" x14ac:dyDescent="0.25">
      <c r="A38" s="8"/>
      <c r="B38" s="15" t="s">
        <v>92</v>
      </c>
      <c r="C38" s="8" t="s">
        <v>93</v>
      </c>
      <c r="D38" s="9"/>
      <c r="E38" s="9"/>
      <c r="F38" s="8" t="str">
        <f>IF(OR(D38="",D38=0),"",ROUND(E38/D38*100,1))</f>
        <v/>
      </c>
      <c r="G38" s="9"/>
      <c r="H38" s="9"/>
      <c r="I38" s="9"/>
      <c r="J38" s="8" t="str">
        <f>IF(OR(G38="",G38=0),"",ROUND(I38/G38*100,1))</f>
        <v/>
      </c>
      <c r="K38" s="8" t="str">
        <f>IF(OR(H38="",H38=0),"",ROUND(I38/H38*100,1))</f>
        <v/>
      </c>
      <c r="L38" s="20"/>
      <c r="M38" s="20"/>
      <c r="N38" s="14"/>
    </row>
    <row r="39" spans="1:14" ht="15.75" customHeight="1" x14ac:dyDescent="0.25">
      <c r="A39" s="8" t="s">
        <v>94</v>
      </c>
      <c r="B39" s="15" t="s">
        <v>95</v>
      </c>
      <c r="C39" s="8" t="s">
        <v>96</v>
      </c>
      <c r="D39" s="9"/>
      <c r="E39" s="9"/>
      <c r="F39" s="8" t="str">
        <f>IF(OR(D39="",D39=0),"",ROUND(E39/D39*100,1))</f>
        <v/>
      </c>
      <c r="G39" s="9"/>
      <c r="H39" s="9"/>
      <c r="I39" s="9"/>
      <c r="J39" s="8" t="str">
        <f>IF(OR(G39="",G39=0),"",ROUND(I39/G39*100,1))</f>
        <v/>
      </c>
      <c r="K39" s="8" t="str">
        <f>IF(OR(H39="",H39=0),"",ROUND(I39/H39*100,1))</f>
        <v/>
      </c>
      <c r="L39" s="20"/>
      <c r="M39" s="20"/>
      <c r="N39" s="14"/>
    </row>
    <row r="40" spans="1:14" ht="15.75" customHeight="1" x14ac:dyDescent="0.25">
      <c r="A40" s="8" t="s">
        <v>97</v>
      </c>
      <c r="B40" s="15" t="s">
        <v>98</v>
      </c>
      <c r="C40" s="8" t="s">
        <v>96</v>
      </c>
      <c r="D40" s="9"/>
      <c r="E40" s="9"/>
      <c r="F40" s="8" t="str">
        <f>IF(OR(D40="",D40=0),"",ROUND(E40/D40*100,1))</f>
        <v/>
      </c>
      <c r="G40" s="9"/>
      <c r="H40" s="9"/>
      <c r="I40" s="9"/>
      <c r="J40" s="8" t="str">
        <f>IF(OR(G40="",G40=0),"",ROUND(I40/G40*100,1))</f>
        <v/>
      </c>
      <c r="K40" s="8" t="str">
        <f>IF(OR(H40="",H40=0),"",ROUND(I40/H40*100,1))</f>
        <v/>
      </c>
      <c r="L40" s="20"/>
      <c r="M40" s="20"/>
      <c r="N40" s="14"/>
    </row>
    <row r="41" spans="1:14" ht="26.25" customHeight="1" x14ac:dyDescent="0.25">
      <c r="A41" s="10" t="s">
        <v>124</v>
      </c>
      <c r="B41" s="13" t="s">
        <v>125</v>
      </c>
      <c r="C41" s="14"/>
      <c r="D41" s="14"/>
      <c r="E41" s="14"/>
      <c r="F41" s="14"/>
      <c r="G41" s="14"/>
      <c r="H41" s="14"/>
      <c r="I41" s="14"/>
      <c r="J41" s="14"/>
      <c r="K41" s="14"/>
      <c r="L41" s="19"/>
      <c r="M41" s="19"/>
      <c r="N41" s="14"/>
    </row>
    <row r="42" spans="1:14" ht="31.5" customHeight="1" x14ac:dyDescent="0.25">
      <c r="A42" s="8" t="s">
        <v>126</v>
      </c>
      <c r="B42" s="15" t="s">
        <v>127</v>
      </c>
      <c r="C42" s="8" t="s">
        <v>93</v>
      </c>
      <c r="D42" s="9"/>
      <c r="E42" s="9"/>
      <c r="F42" s="8" t="str">
        <f t="shared" ref="F42:F47" si="3">IF(OR(D42="",D42=0),"",ROUND(E42/D42*100,1))</f>
        <v/>
      </c>
      <c r="G42" s="9"/>
      <c r="H42" s="9"/>
      <c r="I42" s="9"/>
      <c r="J42" s="8" t="str">
        <f t="shared" ref="J42:J47" si="4">IF(OR(G42="",G42=0),"",ROUND(I42/G42*100,1))</f>
        <v/>
      </c>
      <c r="K42" s="8" t="str">
        <f t="shared" ref="K42:K47" si="5">IF(OR(H42="",H42=0),"",ROUND(I42/H42*100,1))</f>
        <v/>
      </c>
      <c r="L42" s="20"/>
      <c r="M42" s="20"/>
      <c r="N42" s="8"/>
    </row>
    <row r="43" spans="1:14" ht="15.75" customHeight="1" x14ac:dyDescent="0.25">
      <c r="A43" s="8" t="s">
        <v>128</v>
      </c>
      <c r="B43" s="15" t="s">
        <v>129</v>
      </c>
      <c r="C43" s="8" t="s">
        <v>130</v>
      </c>
      <c r="D43" s="9"/>
      <c r="E43" s="9"/>
      <c r="F43" s="8" t="str">
        <f t="shared" si="3"/>
        <v/>
      </c>
      <c r="G43" s="9"/>
      <c r="H43" s="9"/>
      <c r="I43" s="9"/>
      <c r="J43" s="8" t="str">
        <f t="shared" si="4"/>
        <v/>
      </c>
      <c r="K43" s="8" t="str">
        <f t="shared" si="5"/>
        <v/>
      </c>
      <c r="L43" s="20"/>
      <c r="M43" s="20"/>
      <c r="N43" s="8"/>
    </row>
    <row r="44" spans="1:14" ht="15.75" customHeight="1" x14ac:dyDescent="0.25">
      <c r="A44" s="8" t="s">
        <v>131</v>
      </c>
      <c r="B44" s="15" t="s">
        <v>132</v>
      </c>
      <c r="C44" s="8" t="s">
        <v>133</v>
      </c>
      <c r="D44" s="9"/>
      <c r="E44" s="9"/>
      <c r="F44" s="8" t="str">
        <f t="shared" si="3"/>
        <v/>
      </c>
      <c r="G44" s="9"/>
      <c r="H44" s="9"/>
      <c r="I44" s="9"/>
      <c r="J44" s="8" t="str">
        <f t="shared" si="4"/>
        <v/>
      </c>
      <c r="K44" s="8" t="str">
        <f t="shared" si="5"/>
        <v/>
      </c>
      <c r="L44" s="20"/>
      <c r="M44" s="20"/>
      <c r="N44" s="14"/>
    </row>
    <row r="45" spans="1:14" ht="31.5" customHeight="1" x14ac:dyDescent="0.25">
      <c r="A45" s="8" t="s">
        <v>134</v>
      </c>
      <c r="B45" s="15" t="s">
        <v>135</v>
      </c>
      <c r="C45" s="8" t="s">
        <v>136</v>
      </c>
      <c r="D45" s="9"/>
      <c r="E45" s="9"/>
      <c r="F45" s="8" t="str">
        <f t="shared" si="3"/>
        <v/>
      </c>
      <c r="G45" s="9"/>
      <c r="H45" s="9"/>
      <c r="I45" s="9"/>
      <c r="J45" s="8" t="str">
        <f t="shared" si="4"/>
        <v/>
      </c>
      <c r="K45" s="8" t="str">
        <f t="shared" si="5"/>
        <v/>
      </c>
      <c r="L45" s="20"/>
      <c r="M45" s="20"/>
      <c r="N45" s="14"/>
    </row>
    <row r="46" spans="1:14" ht="31.5" customHeight="1" x14ac:dyDescent="0.25">
      <c r="A46" s="8" t="s">
        <v>137</v>
      </c>
      <c r="B46" s="15" t="s">
        <v>138</v>
      </c>
      <c r="C46" s="8" t="s">
        <v>80</v>
      </c>
      <c r="D46" s="9"/>
      <c r="E46" s="9"/>
      <c r="F46" s="8" t="str">
        <f t="shared" si="3"/>
        <v/>
      </c>
      <c r="G46" s="9"/>
      <c r="H46" s="9"/>
      <c r="I46" s="9"/>
      <c r="J46" s="8" t="str">
        <f t="shared" si="4"/>
        <v/>
      </c>
      <c r="K46" s="8" t="str">
        <f t="shared" si="5"/>
        <v/>
      </c>
      <c r="L46" s="20"/>
      <c r="M46" s="20"/>
      <c r="N46" s="14"/>
    </row>
    <row r="47" spans="1:14" ht="31.5" customHeight="1" x14ac:dyDescent="0.25">
      <c r="A47" s="8" t="s">
        <v>139</v>
      </c>
      <c r="B47" s="15" t="s">
        <v>140</v>
      </c>
      <c r="C47" s="8" t="s">
        <v>141</v>
      </c>
      <c r="D47" s="9"/>
      <c r="E47" s="9"/>
      <c r="F47" s="8" t="str">
        <f t="shared" si="3"/>
        <v/>
      </c>
      <c r="G47" s="9"/>
      <c r="H47" s="9"/>
      <c r="I47" s="9"/>
      <c r="J47" s="8" t="str">
        <f t="shared" si="4"/>
        <v/>
      </c>
      <c r="K47" s="8" t="str">
        <f t="shared" si="5"/>
        <v/>
      </c>
      <c r="L47" s="20"/>
      <c r="M47" s="20"/>
      <c r="N47" s="14"/>
    </row>
    <row r="48" spans="1:14" ht="15.75" customHeight="1" x14ac:dyDescent="0.25">
      <c r="A48" s="10" t="s">
        <v>142</v>
      </c>
      <c r="B48" s="13" t="s">
        <v>143</v>
      </c>
      <c r="C48" s="14"/>
      <c r="D48" s="14"/>
      <c r="E48" s="14"/>
      <c r="F48" s="14"/>
      <c r="G48" s="14"/>
      <c r="H48" s="14"/>
      <c r="I48" s="14"/>
      <c r="J48" s="14"/>
      <c r="K48" s="14"/>
      <c r="L48" s="19"/>
      <c r="M48" s="19"/>
      <c r="N48" s="14"/>
    </row>
    <row r="49" spans="1:14" ht="31.5" customHeight="1" x14ac:dyDescent="0.25">
      <c r="A49" s="8" t="s">
        <v>144</v>
      </c>
      <c r="B49" s="15" t="s">
        <v>145</v>
      </c>
      <c r="C49" s="8" t="s">
        <v>141</v>
      </c>
      <c r="D49" s="9"/>
      <c r="E49" s="9"/>
      <c r="F49" s="8" t="str">
        <f>IF(OR(D49="",D49=0),"",ROUND(E49/D49*100,1))</f>
        <v/>
      </c>
      <c r="G49" s="9"/>
      <c r="H49" s="9"/>
      <c r="I49" s="9"/>
      <c r="J49" s="8" t="str">
        <f>IF(OR(G49="",G49=0),"",ROUND(I49/G49*100,1))</f>
        <v/>
      </c>
      <c r="K49" s="8" t="str">
        <f>IF(OR(H49="",H49=0),"",ROUND(I49/H49*100,1))</f>
        <v/>
      </c>
      <c r="L49" s="20"/>
      <c r="M49" s="20"/>
      <c r="N49" s="8"/>
    </row>
    <row r="50" spans="1:14" ht="31.5" customHeight="1" x14ac:dyDescent="0.25">
      <c r="A50" s="8" t="s">
        <v>146</v>
      </c>
      <c r="B50" s="15" t="s">
        <v>147</v>
      </c>
      <c r="C50" s="8" t="s">
        <v>141</v>
      </c>
      <c r="D50" s="9"/>
      <c r="E50" s="9"/>
      <c r="F50" s="8" t="str">
        <f>IF(OR(D50="",D50=0),"",ROUND(E50/D50*100,1))</f>
        <v/>
      </c>
      <c r="G50" s="9"/>
      <c r="H50" s="9"/>
      <c r="I50" s="9"/>
      <c r="J50" s="8" t="str">
        <f>IF(OR(G50="",G50=0),"",ROUND(I50/G50*100,1))</f>
        <v/>
      </c>
      <c r="K50" s="8" t="str">
        <f>IF(OR(H50="",H50=0),"",ROUND(I50/H50*100,1))</f>
        <v/>
      </c>
      <c r="L50" s="20"/>
      <c r="M50" s="20"/>
      <c r="N50" s="14"/>
    </row>
    <row r="51" spans="1:14" ht="31.5" customHeight="1" x14ac:dyDescent="0.25">
      <c r="A51" s="8" t="s">
        <v>148</v>
      </c>
      <c r="B51" s="15" t="s">
        <v>149</v>
      </c>
      <c r="C51" s="8" t="s">
        <v>118</v>
      </c>
      <c r="D51" s="9"/>
      <c r="E51" s="9"/>
      <c r="F51" s="8" t="str">
        <f>IF(OR(D51="",D51=0),"",ROUND(E51/D51*100,1))</f>
        <v/>
      </c>
      <c r="G51" s="9"/>
      <c r="H51" s="9"/>
      <c r="I51" s="9"/>
      <c r="J51" s="8" t="str">
        <f>IF(OR(G51="",G51=0),"",ROUND(I51/G51*100,1))</f>
        <v/>
      </c>
      <c r="K51" s="8" t="str">
        <f>IF(OR(H51="",H51=0),"",ROUND(I51/H51*100,1))</f>
        <v/>
      </c>
      <c r="L51" s="20"/>
      <c r="M51" s="20"/>
      <c r="N51" s="14"/>
    </row>
    <row r="52" spans="1:14" ht="31.5" customHeight="1" x14ac:dyDescent="0.25">
      <c r="A52" s="8" t="s">
        <v>150</v>
      </c>
      <c r="B52" s="15" t="s">
        <v>151</v>
      </c>
      <c r="C52" s="8" t="s">
        <v>152</v>
      </c>
      <c r="D52" s="9"/>
      <c r="E52" s="9"/>
      <c r="F52" s="8" t="str">
        <f>IF(OR(D52="",D52=0),"",ROUND(E52/D52*100,1))</f>
        <v/>
      </c>
      <c r="G52" s="9"/>
      <c r="H52" s="9"/>
      <c r="I52" s="9"/>
      <c r="J52" s="8" t="str">
        <f>IF(OR(G52="",G52=0),"",ROUND(I52/G52*100,1))</f>
        <v/>
      </c>
      <c r="K52" s="8" t="str">
        <f>IF(OR(H52="",H52=0),"",ROUND(I52/H52*100,1))</f>
        <v/>
      </c>
      <c r="L52" s="20"/>
      <c r="M52" s="20"/>
      <c r="N52" s="14"/>
    </row>
    <row r="53" spans="1:14" ht="31.5" customHeight="1" x14ac:dyDescent="0.25">
      <c r="A53" s="8" t="s">
        <v>153</v>
      </c>
      <c r="B53" s="15" t="s">
        <v>154</v>
      </c>
      <c r="C53" s="8" t="s">
        <v>152</v>
      </c>
      <c r="D53" s="9"/>
      <c r="E53" s="9"/>
      <c r="F53" s="8" t="str">
        <f>IF(OR(D53="",D53=0),"",ROUND(E53/D53*100,1))</f>
        <v/>
      </c>
      <c r="G53" s="9"/>
      <c r="H53" s="9"/>
      <c r="I53" s="9"/>
      <c r="J53" s="8" t="str">
        <f>IF(OR(G53="",G53=0),"",ROUND(I53/G53*100,1))</f>
        <v/>
      </c>
      <c r="K53" s="8" t="str">
        <f>IF(OR(H53="",H53=0),"",ROUND(I53/H53*100,1))</f>
        <v/>
      </c>
      <c r="L53" s="20"/>
      <c r="M53" s="20"/>
      <c r="N53" s="14"/>
    </row>
    <row r="54" spans="1:14" ht="15.75" customHeight="1" x14ac:dyDescent="0.25">
      <c r="A54" s="10" t="s">
        <v>155</v>
      </c>
      <c r="B54" s="13" t="s">
        <v>156</v>
      </c>
      <c r="C54" s="14"/>
      <c r="D54" s="14"/>
      <c r="E54" s="14"/>
      <c r="F54" s="14"/>
      <c r="G54" s="14"/>
      <c r="H54" s="14"/>
      <c r="I54" s="14"/>
      <c r="J54" s="14"/>
      <c r="K54" s="14"/>
      <c r="L54" s="19"/>
      <c r="M54" s="19"/>
      <c r="N54" s="14"/>
    </row>
    <row r="55" spans="1:14" ht="31.5" customHeight="1" x14ac:dyDescent="0.25">
      <c r="A55" s="8" t="s">
        <v>157</v>
      </c>
      <c r="B55" s="15" t="s">
        <v>158</v>
      </c>
      <c r="C55" s="8" t="s">
        <v>159</v>
      </c>
      <c r="D55" s="9"/>
      <c r="E55" s="9"/>
      <c r="F55" s="8" t="str">
        <f>IF(OR(D55="",D55=0),"",ROUND(E55/D55*100,1))</f>
        <v/>
      </c>
      <c r="G55" s="9"/>
      <c r="H55" s="9"/>
      <c r="I55" s="9"/>
      <c r="J55" s="8" t="str">
        <f>IF(OR(G55="",G55=0),"",ROUND(I55/G55*100,1))</f>
        <v/>
      </c>
      <c r="K55" s="8" t="str">
        <f>IF(OR(H55="",H55=0),"",ROUND(I55/H55*100,1))</f>
        <v/>
      </c>
      <c r="L55" s="20"/>
      <c r="M55" s="20"/>
      <c r="N55" s="14"/>
    </row>
    <row r="56" spans="1:14" ht="15.75" customHeight="1" x14ac:dyDescent="0.25">
      <c r="A56" s="10" t="s">
        <v>160</v>
      </c>
      <c r="B56" s="13" t="s">
        <v>161</v>
      </c>
      <c r="C56" s="14"/>
      <c r="D56" s="14"/>
      <c r="E56" s="14"/>
      <c r="F56" s="14"/>
      <c r="G56" s="14"/>
      <c r="H56" s="14"/>
      <c r="I56" s="14"/>
      <c r="J56" s="14"/>
      <c r="K56" s="14"/>
      <c r="L56" s="19"/>
      <c r="M56" s="19"/>
      <c r="N56" s="14"/>
    </row>
    <row r="57" spans="1:14" ht="15.75" customHeight="1" x14ac:dyDescent="0.25">
      <c r="A57" s="8" t="s">
        <v>162</v>
      </c>
      <c r="B57" s="15" t="s">
        <v>163</v>
      </c>
      <c r="C57" s="8" t="s">
        <v>164</v>
      </c>
      <c r="D57" s="9"/>
      <c r="E57" s="9"/>
      <c r="F57" s="8" t="str">
        <f>IF(OR(D57="",D57=0),"",ROUND(E57/D57*100,1))</f>
        <v/>
      </c>
      <c r="G57" s="9"/>
      <c r="H57" s="9"/>
      <c r="I57" s="9"/>
      <c r="J57" s="8" t="str">
        <f>IF(OR(G57="",G57=0),"",ROUND(I57/G57*100,1))</f>
        <v/>
      </c>
      <c r="K57" s="8" t="str">
        <f>IF(OR(H57="",H57=0),"",ROUND(I57/H57*100,1))</f>
        <v/>
      </c>
      <c r="L57" s="20"/>
      <c r="M57" s="20"/>
      <c r="N57" s="14"/>
    </row>
    <row r="58" spans="1:14" ht="15.75" customHeight="1" x14ac:dyDescent="0.25">
      <c r="A58" s="8" t="s">
        <v>165</v>
      </c>
      <c r="B58" s="15" t="s">
        <v>166</v>
      </c>
      <c r="C58" s="8" t="s">
        <v>164</v>
      </c>
      <c r="D58" s="9"/>
      <c r="E58" s="9"/>
      <c r="F58" s="8" t="str">
        <f>IF(OR(D58="",D58=0),"",ROUND(E58/D58*100,1))</f>
        <v/>
      </c>
      <c r="G58" s="9"/>
      <c r="H58" s="9"/>
      <c r="I58" s="9"/>
      <c r="J58" s="8" t="str">
        <f>IF(OR(G58="",G58=0),"",ROUND(I58/G58*100,1))</f>
        <v/>
      </c>
      <c r="K58" s="8" t="str">
        <f>IF(OR(H58="",H58=0),"",ROUND(I58/H58*100,1))</f>
        <v/>
      </c>
      <c r="L58" s="20"/>
      <c r="M58" s="20"/>
      <c r="N58" s="14"/>
    </row>
    <row r="59" spans="1:14" ht="15.75" customHeight="1" x14ac:dyDescent="0.25">
      <c r="A59" s="8" t="s">
        <v>167</v>
      </c>
      <c r="B59" s="15" t="s">
        <v>168</v>
      </c>
      <c r="C59" s="8" t="s">
        <v>164</v>
      </c>
      <c r="D59" s="9"/>
      <c r="E59" s="9"/>
      <c r="F59" s="8" t="str">
        <f>IF(OR(D59="",D59=0),"",ROUND(E59/D59*100,1))</f>
        <v/>
      </c>
      <c r="G59" s="9"/>
      <c r="H59" s="9"/>
      <c r="I59" s="9"/>
      <c r="J59" s="8" t="str">
        <f>IF(OR(G59="",G59=0),"",ROUND(I59/G59*100,1))</f>
        <v/>
      </c>
      <c r="K59" s="8" t="str">
        <f>IF(OR(H59="",H59=0),"",ROUND(I59/H59*100,1))</f>
        <v/>
      </c>
      <c r="L59" s="20"/>
      <c r="M59" s="20"/>
      <c r="N59" s="14"/>
    </row>
    <row r="60" spans="1:14" ht="15.75" customHeight="1" x14ac:dyDescent="0.25">
      <c r="A60" s="8" t="s">
        <v>169</v>
      </c>
      <c r="B60" s="15" t="s">
        <v>170</v>
      </c>
      <c r="C60" s="8" t="s">
        <v>164</v>
      </c>
      <c r="D60" s="9"/>
      <c r="E60" s="9"/>
      <c r="F60" s="8" t="str">
        <f>IF(OR(D60="",D60=0),"",ROUND(E60/D60*100,1))</f>
        <v/>
      </c>
      <c r="G60" s="9"/>
      <c r="H60" s="9"/>
      <c r="I60" s="9"/>
      <c r="J60" s="8" t="str">
        <f>IF(OR(G60="",G60=0),"",ROUND(I60/G60*100,1))</f>
        <v/>
      </c>
      <c r="K60" s="8" t="str">
        <f>IF(OR(H60="",H60=0),"",ROUND(I60/H60*100,1))</f>
        <v/>
      </c>
      <c r="L60" s="20"/>
      <c r="M60" s="20"/>
      <c r="N60" s="14"/>
    </row>
    <row r="62" spans="1:14" ht="30" customHeight="1" x14ac:dyDescent="0.25">
      <c r="A62" s="32" t="s">
        <v>196</v>
      </c>
      <c r="B62" s="32"/>
      <c r="C62" s="32"/>
      <c r="D62" s="32"/>
      <c r="E62" s="32"/>
      <c r="F62" s="32"/>
      <c r="G62" s="32"/>
      <c r="H62" s="32"/>
      <c r="I62" s="32"/>
      <c r="J62" s="32"/>
      <c r="K62" s="32"/>
      <c r="L62" s="32"/>
      <c r="M62" s="32"/>
      <c r="N62" s="32"/>
    </row>
  </sheetData>
  <mergeCells count="15">
    <mergeCell ref="A62:N62"/>
    <mergeCell ref="A1:N1"/>
    <mergeCell ref="A5:N5"/>
    <mergeCell ref="A6:N6"/>
    <mergeCell ref="A7:N7"/>
    <mergeCell ref="A9:A10"/>
    <mergeCell ref="B9:B10"/>
    <mergeCell ref="C9:C10"/>
    <mergeCell ref="D9:F9"/>
    <mergeCell ref="G9:H9"/>
    <mergeCell ref="I9:I10"/>
    <mergeCell ref="J9:K9"/>
    <mergeCell ref="L9:L10"/>
    <mergeCell ref="M9:M10"/>
    <mergeCell ref="N9:N10"/>
  </mergeCells>
  <pageMargins left="0.75" right="0.66" top="0.47" bottom="0.5" header="0.511811023622047" footer="0.511811023622047"/>
  <pageSetup paperSize="9" scale="7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0"/>
  <sheetViews>
    <sheetView tabSelected="1" topLeftCell="A37" zoomScale="85" zoomScaleNormal="85" workbookViewId="0">
      <selection activeCell="J64" sqref="J64"/>
    </sheetView>
  </sheetViews>
  <sheetFormatPr defaultColWidth="8.7109375" defaultRowHeight="15" x14ac:dyDescent="0.25"/>
  <cols>
    <col min="1" max="1" width="6" style="1" customWidth="1"/>
    <col min="2" max="2" width="41" style="1" customWidth="1"/>
    <col min="3" max="3" width="10" style="1" customWidth="1"/>
    <col min="4" max="9" width="9" style="1" customWidth="1"/>
    <col min="10" max="13" width="9.5703125" style="1" customWidth="1"/>
    <col min="14" max="14" width="10" style="1" customWidth="1"/>
    <col min="15" max="15" width="18.85546875" style="1" customWidth="1"/>
    <col min="16" max="17" width="13" style="1" customWidth="1"/>
  </cols>
  <sheetData>
    <row r="1" spans="1:16" ht="16.5" customHeight="1" x14ac:dyDescent="0.25">
      <c r="A1" s="28" t="s">
        <v>171</v>
      </c>
      <c r="B1" s="28"/>
      <c r="C1" s="28"/>
      <c r="D1" s="28"/>
      <c r="E1" s="28"/>
      <c r="F1" s="28"/>
      <c r="G1" s="28"/>
      <c r="H1" s="28"/>
      <c r="I1" s="28"/>
      <c r="J1" s="28"/>
      <c r="K1" s="28"/>
      <c r="L1" s="28"/>
      <c r="M1" s="28"/>
      <c r="N1" s="28"/>
      <c r="O1" s="28"/>
      <c r="P1" s="28"/>
    </row>
    <row r="2" spans="1:16" ht="16.5" customHeight="1" x14ac:dyDescent="0.25">
      <c r="A2" s="16" t="s">
        <v>1</v>
      </c>
    </row>
    <row r="3" spans="1:16" ht="16.5" customHeight="1" x14ac:dyDescent="0.25">
      <c r="A3" s="16" t="s">
        <v>2</v>
      </c>
    </row>
    <row r="4" spans="1:16" ht="16.5" customHeight="1" x14ac:dyDescent="0.25">
      <c r="A4" s="16"/>
    </row>
    <row r="5" spans="1:16" ht="15.75" customHeight="1" x14ac:dyDescent="0.25">
      <c r="A5" s="26" t="s">
        <v>172</v>
      </c>
      <c r="B5" s="26"/>
      <c r="C5" s="26"/>
      <c r="D5" s="26"/>
      <c r="E5" s="26"/>
      <c r="F5" s="26"/>
      <c r="G5" s="26"/>
      <c r="H5" s="26"/>
      <c r="I5" s="26"/>
      <c r="J5" s="26"/>
      <c r="K5" s="26"/>
      <c r="L5" s="26"/>
      <c r="M5" s="26"/>
      <c r="N5" s="26"/>
      <c r="O5" s="26"/>
      <c r="P5" s="26"/>
    </row>
    <row r="6" spans="1:16" ht="15.75" customHeight="1" x14ac:dyDescent="0.25">
      <c r="A6" s="26"/>
      <c r="B6" s="26"/>
      <c r="C6" s="26"/>
      <c r="D6" s="26"/>
      <c r="E6" s="26"/>
      <c r="F6" s="26"/>
      <c r="G6" s="26"/>
      <c r="H6" s="26"/>
      <c r="I6" s="26"/>
      <c r="J6" s="26"/>
      <c r="K6" s="26"/>
      <c r="L6" s="26"/>
      <c r="M6" s="26"/>
      <c r="N6" s="26"/>
      <c r="O6" s="26"/>
      <c r="P6" s="26"/>
    </row>
    <row r="7" spans="1:16" ht="63" customHeight="1" x14ac:dyDescent="0.25">
      <c r="A7" s="3" t="s">
        <v>47</v>
      </c>
      <c r="B7" s="3" t="s">
        <v>48</v>
      </c>
      <c r="C7" s="3" t="s">
        <v>49</v>
      </c>
      <c r="D7" s="3" t="s">
        <v>173</v>
      </c>
      <c r="E7" s="3" t="s">
        <v>174</v>
      </c>
      <c r="F7" s="3" t="s">
        <v>175</v>
      </c>
      <c r="G7" s="3" t="s">
        <v>176</v>
      </c>
      <c r="H7" s="3" t="s">
        <v>177</v>
      </c>
      <c r="I7" s="3" t="s">
        <v>178</v>
      </c>
      <c r="J7" s="3" t="s">
        <v>179</v>
      </c>
      <c r="K7" s="3" t="s">
        <v>180</v>
      </c>
      <c r="L7" s="3" t="s">
        <v>181</v>
      </c>
      <c r="M7" s="3" t="s">
        <v>182</v>
      </c>
      <c r="N7" s="3" t="s">
        <v>183</v>
      </c>
      <c r="O7" s="21" t="s">
        <v>192</v>
      </c>
      <c r="P7" s="3" t="s">
        <v>15</v>
      </c>
    </row>
    <row r="8" spans="1:16" ht="15" customHeight="1" x14ac:dyDescent="0.25">
      <c r="A8" s="4" t="s">
        <v>19</v>
      </c>
      <c r="B8" s="4" t="s">
        <v>20</v>
      </c>
      <c r="C8" s="4" t="s">
        <v>21</v>
      </c>
      <c r="D8" s="4" t="s">
        <v>22</v>
      </c>
      <c r="E8" s="4" t="s">
        <v>23</v>
      </c>
      <c r="F8" s="4" t="s">
        <v>24</v>
      </c>
      <c r="G8" s="4" t="s">
        <v>25</v>
      </c>
      <c r="H8" s="4" t="s">
        <v>26</v>
      </c>
      <c r="I8" s="4" t="s">
        <v>27</v>
      </c>
      <c r="J8" s="4" t="s">
        <v>28</v>
      </c>
      <c r="K8" s="4" t="s">
        <v>29</v>
      </c>
      <c r="L8" s="4" t="s">
        <v>61</v>
      </c>
      <c r="M8" s="4" t="s">
        <v>103</v>
      </c>
      <c r="N8" s="4" t="s">
        <v>104</v>
      </c>
      <c r="O8" s="4" t="s">
        <v>184</v>
      </c>
      <c r="P8" s="4" t="s">
        <v>185</v>
      </c>
    </row>
    <row r="9" spans="1:16" ht="15.75" customHeight="1" x14ac:dyDescent="0.25">
      <c r="A9" s="10" t="s">
        <v>30</v>
      </c>
      <c r="B9" s="13" t="s">
        <v>62</v>
      </c>
      <c r="C9" s="8"/>
      <c r="D9" s="14"/>
      <c r="E9" s="14"/>
      <c r="F9" s="14"/>
      <c r="G9" s="14"/>
      <c r="H9" s="14"/>
      <c r="I9" s="14"/>
      <c r="J9" s="14"/>
      <c r="K9" s="14"/>
      <c r="L9" s="14"/>
      <c r="M9" s="14"/>
      <c r="N9" s="14"/>
      <c r="O9" s="19"/>
      <c r="P9" s="14"/>
    </row>
    <row r="10" spans="1:16" ht="15.75" customHeight="1" x14ac:dyDescent="0.25">
      <c r="A10" s="8"/>
      <c r="B10" s="15" t="s">
        <v>63</v>
      </c>
      <c r="C10" s="8" t="s">
        <v>64</v>
      </c>
      <c r="D10" s="9"/>
      <c r="E10" s="9"/>
      <c r="F10" s="9"/>
      <c r="G10" s="9"/>
      <c r="H10" s="9"/>
      <c r="I10" s="8"/>
      <c r="J10" s="9"/>
      <c r="K10" s="9"/>
      <c r="L10" s="9"/>
      <c r="M10" s="8"/>
      <c r="N10" s="8"/>
      <c r="O10" s="20"/>
      <c r="P10" s="14"/>
    </row>
    <row r="11" spans="1:16" ht="15.75" customHeight="1" x14ac:dyDescent="0.25">
      <c r="A11" s="10" t="s">
        <v>65</v>
      </c>
      <c r="B11" s="13" t="s">
        <v>66</v>
      </c>
      <c r="C11" s="8"/>
      <c r="D11" s="14"/>
      <c r="E11" s="14"/>
      <c r="F11" s="14"/>
      <c r="G11" s="14"/>
      <c r="H11" s="14"/>
      <c r="I11" s="14"/>
      <c r="J11" s="14"/>
      <c r="K11" s="14"/>
      <c r="L11" s="14"/>
      <c r="M11" s="14"/>
      <c r="N11" s="14"/>
      <c r="O11" s="19"/>
      <c r="P11" s="14"/>
    </row>
    <row r="12" spans="1:16" ht="15.75" customHeight="1" x14ac:dyDescent="0.25">
      <c r="A12" s="8"/>
      <c r="B12" s="15" t="s">
        <v>105</v>
      </c>
      <c r="C12" s="8" t="s">
        <v>64</v>
      </c>
      <c r="D12" s="9"/>
      <c r="E12" s="9"/>
      <c r="F12" s="9"/>
      <c r="G12" s="9"/>
      <c r="H12" s="9"/>
      <c r="I12" s="8"/>
      <c r="J12" s="9"/>
      <c r="K12" s="9"/>
      <c r="L12" s="9"/>
      <c r="M12" s="8"/>
      <c r="N12" s="8"/>
      <c r="O12" s="20"/>
      <c r="P12" s="8"/>
    </row>
    <row r="13" spans="1:16" ht="15.75" customHeight="1" x14ac:dyDescent="0.25">
      <c r="A13" s="8"/>
      <c r="B13" s="15" t="s">
        <v>106</v>
      </c>
      <c r="C13" s="8" t="s">
        <v>64</v>
      </c>
      <c r="D13" s="9"/>
      <c r="E13" s="9"/>
      <c r="F13" s="9"/>
      <c r="G13" s="9"/>
      <c r="H13" s="9"/>
      <c r="I13" s="8"/>
      <c r="J13" s="9"/>
      <c r="K13" s="9"/>
      <c r="L13" s="9"/>
      <c r="M13" s="8"/>
      <c r="N13" s="8"/>
      <c r="O13" s="20"/>
      <c r="P13" s="8"/>
    </row>
    <row r="14" spans="1:16" ht="15.75" customHeight="1" x14ac:dyDescent="0.25">
      <c r="A14" s="10" t="s">
        <v>68</v>
      </c>
      <c r="B14" s="13" t="s">
        <v>69</v>
      </c>
      <c r="C14" s="8"/>
      <c r="D14" s="14"/>
      <c r="E14" s="14"/>
      <c r="F14" s="14"/>
      <c r="G14" s="14"/>
      <c r="H14" s="14"/>
      <c r="I14" s="14"/>
      <c r="J14" s="14"/>
      <c r="K14" s="14"/>
      <c r="L14" s="14"/>
      <c r="M14" s="14"/>
      <c r="N14" s="14"/>
      <c r="O14" s="19"/>
      <c r="P14" s="14"/>
    </row>
    <row r="15" spans="1:16" ht="15.75" customHeight="1" x14ac:dyDescent="0.25">
      <c r="A15" s="8" t="s">
        <v>70</v>
      </c>
      <c r="B15" s="15" t="s">
        <v>71</v>
      </c>
      <c r="C15" s="8" t="s">
        <v>72</v>
      </c>
      <c r="D15" s="9"/>
      <c r="E15" s="9"/>
      <c r="F15" s="9"/>
      <c r="G15" s="9"/>
      <c r="H15" s="9"/>
      <c r="I15" s="8"/>
      <c r="J15" s="9"/>
      <c r="K15" s="9"/>
      <c r="L15" s="9"/>
      <c r="M15" s="8"/>
      <c r="N15" s="8"/>
      <c r="O15" s="20"/>
      <c r="P15" s="8"/>
    </row>
    <row r="16" spans="1:16" ht="15.75" customHeight="1" x14ac:dyDescent="0.25">
      <c r="A16" s="8" t="s">
        <v>73</v>
      </c>
      <c r="B16" s="15" t="s">
        <v>74</v>
      </c>
      <c r="C16" s="8" t="s">
        <v>64</v>
      </c>
      <c r="D16" s="9"/>
      <c r="E16" s="9"/>
      <c r="F16" s="9"/>
      <c r="G16" s="9"/>
      <c r="H16" s="9"/>
      <c r="I16" s="8"/>
      <c r="J16" s="9"/>
      <c r="K16" s="9"/>
      <c r="L16" s="9"/>
      <c r="M16" s="8"/>
      <c r="N16" s="8"/>
      <c r="O16" s="20"/>
      <c r="P16" s="8"/>
    </row>
    <row r="17" spans="1:16" ht="15.75" customHeight="1" x14ac:dyDescent="0.25">
      <c r="A17" s="8" t="s">
        <v>107</v>
      </c>
      <c r="B17" s="15" t="s">
        <v>108</v>
      </c>
      <c r="C17" s="8" t="s">
        <v>93</v>
      </c>
      <c r="D17" s="9"/>
      <c r="E17" s="9"/>
      <c r="F17" s="9"/>
      <c r="G17" s="9"/>
      <c r="H17" s="9"/>
      <c r="I17" s="9"/>
      <c r="J17" s="9"/>
      <c r="K17" s="9"/>
      <c r="L17" s="9"/>
      <c r="M17" s="9"/>
      <c r="N17" s="9"/>
      <c r="O17" s="20"/>
      <c r="P17" s="4"/>
    </row>
    <row r="18" spans="1:16" ht="15.75" customHeight="1" x14ac:dyDescent="0.25">
      <c r="A18" s="8" t="s">
        <v>109</v>
      </c>
      <c r="B18" s="15" t="s">
        <v>110</v>
      </c>
      <c r="C18" s="8" t="s">
        <v>111</v>
      </c>
      <c r="D18" s="9"/>
      <c r="E18" s="9"/>
      <c r="F18" s="9"/>
      <c r="G18" s="9"/>
      <c r="H18" s="9"/>
      <c r="I18" s="8"/>
      <c r="J18" s="9"/>
      <c r="K18" s="9"/>
      <c r="L18" s="9"/>
      <c r="M18" s="8"/>
      <c r="N18" s="8"/>
      <c r="O18" s="20"/>
      <c r="P18" s="14"/>
    </row>
    <row r="19" spans="1:16" ht="15.75" customHeight="1" x14ac:dyDescent="0.25">
      <c r="A19" s="10" t="s">
        <v>75</v>
      </c>
      <c r="B19" s="13" t="s">
        <v>76</v>
      </c>
      <c r="C19" s="8"/>
      <c r="D19" s="14"/>
      <c r="E19" s="14"/>
      <c r="F19" s="14"/>
      <c r="G19" s="14"/>
      <c r="H19" s="14"/>
      <c r="I19" s="14"/>
      <c r="J19" s="14"/>
      <c r="K19" s="14"/>
      <c r="L19" s="14"/>
      <c r="M19" s="14"/>
      <c r="N19" s="14"/>
      <c r="O19" s="19"/>
      <c r="P19" s="14"/>
    </row>
    <row r="20" spans="1:16" ht="15.75" customHeight="1" x14ac:dyDescent="0.25">
      <c r="A20" s="8" t="s">
        <v>77</v>
      </c>
      <c r="B20" s="13" t="s">
        <v>78</v>
      </c>
      <c r="C20" s="8"/>
      <c r="D20" s="14"/>
      <c r="E20" s="14"/>
      <c r="F20" s="14"/>
      <c r="G20" s="14"/>
      <c r="H20" s="14"/>
      <c r="I20" s="14"/>
      <c r="J20" s="14"/>
      <c r="K20" s="14"/>
      <c r="L20" s="14"/>
      <c r="M20" s="14"/>
      <c r="N20" s="14"/>
      <c r="O20" s="19"/>
      <c r="P20" s="14"/>
    </row>
    <row r="21" spans="1:16" ht="15.75" customHeight="1" x14ac:dyDescent="0.25">
      <c r="A21" s="8"/>
      <c r="B21" s="15" t="s">
        <v>79</v>
      </c>
      <c r="C21" s="8" t="s">
        <v>80</v>
      </c>
      <c r="D21" s="9"/>
      <c r="E21" s="9"/>
      <c r="F21" s="9"/>
      <c r="G21" s="9"/>
      <c r="H21" s="9"/>
      <c r="I21" s="8"/>
      <c r="J21" s="9"/>
      <c r="K21" s="9"/>
      <c r="L21" s="9"/>
      <c r="M21" s="8"/>
      <c r="N21" s="8"/>
      <c r="O21" s="20"/>
      <c r="P21" s="8"/>
    </row>
    <row r="22" spans="1:16" ht="31.5" customHeight="1" x14ac:dyDescent="0.25">
      <c r="A22" s="8"/>
      <c r="B22" s="15" t="s">
        <v>81</v>
      </c>
      <c r="C22" s="8" t="s">
        <v>80</v>
      </c>
      <c r="D22" s="9"/>
      <c r="E22" s="9"/>
      <c r="F22" s="9"/>
      <c r="G22" s="9"/>
      <c r="H22" s="9"/>
      <c r="I22" s="8"/>
      <c r="J22" s="9"/>
      <c r="K22" s="9"/>
      <c r="L22" s="9"/>
      <c r="M22" s="8"/>
      <c r="N22" s="8"/>
      <c r="O22" s="20"/>
      <c r="P22" s="14"/>
    </row>
    <row r="23" spans="1:16" ht="15.75" customHeight="1" x14ac:dyDescent="0.25">
      <c r="A23" s="8" t="s">
        <v>82</v>
      </c>
      <c r="B23" s="15" t="s">
        <v>83</v>
      </c>
      <c r="C23" s="8" t="s">
        <v>80</v>
      </c>
      <c r="D23" s="9"/>
      <c r="E23" s="9"/>
      <c r="F23" s="9"/>
      <c r="G23" s="9"/>
      <c r="H23" s="9"/>
      <c r="I23" s="8"/>
      <c r="J23" s="9"/>
      <c r="K23" s="9"/>
      <c r="L23" s="9"/>
      <c r="M23" s="8"/>
      <c r="N23" s="8"/>
      <c r="O23" s="20"/>
      <c r="P23" s="14"/>
    </row>
    <row r="24" spans="1:16" ht="15.75" customHeight="1" x14ac:dyDescent="0.25">
      <c r="A24" s="8" t="s">
        <v>84</v>
      </c>
      <c r="B24" s="15" t="s">
        <v>85</v>
      </c>
      <c r="C24" s="8" t="s">
        <v>80</v>
      </c>
      <c r="D24" s="9"/>
      <c r="E24" s="9"/>
      <c r="F24" s="9"/>
      <c r="G24" s="9"/>
      <c r="H24" s="9"/>
      <c r="I24" s="8"/>
      <c r="J24" s="9"/>
      <c r="K24" s="9"/>
      <c r="L24" s="9"/>
      <c r="M24" s="8"/>
      <c r="N24" s="8"/>
      <c r="O24" s="20"/>
      <c r="P24" s="14"/>
    </row>
    <row r="25" spans="1:16" ht="15.75" customHeight="1" x14ac:dyDescent="0.25">
      <c r="A25" s="8" t="s">
        <v>112</v>
      </c>
      <c r="B25" s="15" t="s">
        <v>113</v>
      </c>
      <c r="C25" s="8" t="s">
        <v>80</v>
      </c>
      <c r="D25" s="9"/>
      <c r="E25" s="9"/>
      <c r="F25" s="9"/>
      <c r="G25" s="9"/>
      <c r="H25" s="9"/>
      <c r="I25" s="8"/>
      <c r="J25" s="9"/>
      <c r="K25" s="9"/>
      <c r="L25" s="9"/>
      <c r="M25" s="8"/>
      <c r="N25" s="8"/>
      <c r="O25" s="20"/>
      <c r="P25" s="14"/>
    </row>
    <row r="26" spans="1:16" ht="31.5" customHeight="1" x14ac:dyDescent="0.25">
      <c r="A26" s="8" t="s">
        <v>186</v>
      </c>
      <c r="B26" s="15" t="s">
        <v>114</v>
      </c>
      <c r="C26" s="8" t="s">
        <v>115</v>
      </c>
      <c r="D26" s="9"/>
      <c r="E26" s="9"/>
      <c r="F26" s="9"/>
      <c r="G26" s="9"/>
      <c r="H26" s="9"/>
      <c r="I26" s="8"/>
      <c r="J26" s="9"/>
      <c r="K26" s="9"/>
      <c r="L26" s="9"/>
      <c r="M26" s="8"/>
      <c r="N26" s="8"/>
      <c r="O26" s="20"/>
      <c r="P26" s="8"/>
    </row>
    <row r="27" spans="1:16" ht="15.75" customHeight="1" x14ac:dyDescent="0.25">
      <c r="A27" s="8" t="s">
        <v>187</v>
      </c>
      <c r="B27" s="15" t="s">
        <v>116</v>
      </c>
      <c r="C27" s="8" t="s">
        <v>96</v>
      </c>
      <c r="D27" s="9"/>
      <c r="E27" s="9"/>
      <c r="F27" s="9"/>
      <c r="G27" s="9"/>
      <c r="H27" s="9"/>
      <c r="I27" s="8"/>
      <c r="J27" s="9"/>
      <c r="K27" s="9"/>
      <c r="L27" s="9"/>
      <c r="M27" s="8"/>
      <c r="N27" s="8"/>
      <c r="O27" s="20"/>
      <c r="P27" s="14"/>
    </row>
    <row r="28" spans="1:16" ht="15.75" customHeight="1" x14ac:dyDescent="0.25">
      <c r="A28" s="8" t="s">
        <v>188</v>
      </c>
      <c r="B28" s="15" t="s">
        <v>117</v>
      </c>
      <c r="C28" s="8" t="s">
        <v>118</v>
      </c>
      <c r="D28" s="9"/>
      <c r="E28" s="9"/>
      <c r="F28" s="9"/>
      <c r="G28" s="9"/>
      <c r="H28" s="9"/>
      <c r="I28" s="8"/>
      <c r="J28" s="9"/>
      <c r="K28" s="9"/>
      <c r="L28" s="9"/>
      <c r="M28" s="8"/>
      <c r="N28" s="8"/>
      <c r="O28" s="20"/>
      <c r="P28" s="8"/>
    </row>
    <row r="29" spans="1:16" ht="15.75" customHeight="1" x14ac:dyDescent="0.25">
      <c r="A29" s="8" t="s">
        <v>189</v>
      </c>
      <c r="B29" s="15" t="s">
        <v>119</v>
      </c>
      <c r="C29" s="8" t="s">
        <v>118</v>
      </c>
      <c r="D29" s="9"/>
      <c r="E29" s="9"/>
      <c r="F29" s="9"/>
      <c r="G29" s="9"/>
      <c r="H29" s="9"/>
      <c r="I29" s="8"/>
      <c r="J29" s="9"/>
      <c r="K29" s="9"/>
      <c r="L29" s="9"/>
      <c r="M29" s="8"/>
      <c r="N29" s="8"/>
      <c r="O29" s="20"/>
      <c r="P29" s="8"/>
    </row>
    <row r="30" spans="1:16" ht="15.75" customHeight="1" x14ac:dyDescent="0.25">
      <c r="A30" s="8" t="s">
        <v>190</v>
      </c>
      <c r="B30" s="15" t="s">
        <v>120</v>
      </c>
      <c r="C30" s="8" t="s">
        <v>118</v>
      </c>
      <c r="D30" s="9"/>
      <c r="E30" s="9"/>
      <c r="F30" s="9"/>
      <c r="G30" s="9"/>
      <c r="H30" s="9"/>
      <c r="I30" s="8"/>
      <c r="J30" s="9"/>
      <c r="K30" s="9"/>
      <c r="L30" s="9"/>
      <c r="M30" s="8"/>
      <c r="N30" s="8"/>
      <c r="O30" s="20"/>
      <c r="P30" s="8"/>
    </row>
    <row r="31" spans="1:16" ht="31.5" customHeight="1" x14ac:dyDescent="0.25">
      <c r="A31" s="8" t="s">
        <v>121</v>
      </c>
      <c r="B31" s="15" t="s">
        <v>122</v>
      </c>
      <c r="C31" s="8" t="s">
        <v>123</v>
      </c>
      <c r="D31" s="9"/>
      <c r="E31" s="9"/>
      <c r="F31" s="9"/>
      <c r="G31" s="9"/>
      <c r="H31" s="9"/>
      <c r="I31" s="8"/>
      <c r="J31" s="9"/>
      <c r="K31" s="9"/>
      <c r="L31" s="9"/>
      <c r="M31" s="8"/>
      <c r="N31" s="8"/>
      <c r="O31" s="20"/>
      <c r="P31" s="14"/>
    </row>
    <row r="32" spans="1:16" ht="31.5" customHeight="1" x14ac:dyDescent="0.25">
      <c r="A32" s="10" t="s">
        <v>86</v>
      </c>
      <c r="B32" s="13" t="s">
        <v>87</v>
      </c>
      <c r="C32" s="8"/>
      <c r="D32" s="14"/>
      <c r="E32" s="14"/>
      <c r="F32" s="14"/>
      <c r="G32" s="14"/>
      <c r="H32" s="14"/>
      <c r="I32" s="14"/>
      <c r="J32" s="14"/>
      <c r="K32" s="14"/>
      <c r="L32" s="14"/>
      <c r="M32" s="14"/>
      <c r="N32" s="14"/>
      <c r="O32" s="19"/>
      <c r="P32" s="14"/>
    </row>
    <row r="33" spans="1:16" ht="15.75" customHeight="1" x14ac:dyDescent="0.25">
      <c r="A33" s="8" t="s">
        <v>88</v>
      </c>
      <c r="B33" s="13" t="s">
        <v>89</v>
      </c>
      <c r="C33" s="8"/>
      <c r="D33" s="14"/>
      <c r="E33" s="14"/>
      <c r="F33" s="14"/>
      <c r="G33" s="14"/>
      <c r="H33" s="14"/>
      <c r="I33" s="14"/>
      <c r="J33" s="14"/>
      <c r="K33" s="14"/>
      <c r="L33" s="14"/>
      <c r="M33" s="14"/>
      <c r="N33" s="14"/>
      <c r="O33" s="19"/>
      <c r="P33" s="14"/>
    </row>
    <row r="34" spans="1:16" ht="15.75" customHeight="1" x14ac:dyDescent="0.25">
      <c r="A34" s="8"/>
      <c r="B34" s="15" t="s">
        <v>90</v>
      </c>
      <c r="C34" s="8" t="s">
        <v>91</v>
      </c>
      <c r="D34" s="9"/>
      <c r="E34" s="9"/>
      <c r="F34" s="9"/>
      <c r="G34" s="9"/>
      <c r="H34" s="9"/>
      <c r="I34" s="8"/>
      <c r="J34" s="9"/>
      <c r="K34" s="9"/>
      <c r="L34" s="9"/>
      <c r="M34" s="8"/>
      <c r="N34" s="8"/>
      <c r="O34" s="20"/>
      <c r="P34" s="14"/>
    </row>
    <row r="35" spans="1:16" ht="15.75" customHeight="1" x14ac:dyDescent="0.25">
      <c r="A35" s="8"/>
      <c r="B35" s="15" t="s">
        <v>92</v>
      </c>
      <c r="C35" s="8" t="s">
        <v>93</v>
      </c>
      <c r="D35" s="9"/>
      <c r="E35" s="9"/>
      <c r="F35" s="9"/>
      <c r="G35" s="9"/>
      <c r="H35" s="9"/>
      <c r="I35" s="9"/>
      <c r="J35" s="9"/>
      <c r="K35" s="9"/>
      <c r="L35" s="9"/>
      <c r="M35" s="9"/>
      <c r="N35" s="9"/>
      <c r="O35" s="20"/>
      <c r="P35" s="4"/>
    </row>
    <row r="36" spans="1:16" ht="15.75" customHeight="1" x14ac:dyDescent="0.25">
      <c r="A36" s="8" t="s">
        <v>94</v>
      </c>
      <c r="B36" s="15" t="s">
        <v>95</v>
      </c>
      <c r="C36" s="8" t="s">
        <v>96</v>
      </c>
      <c r="D36" s="9"/>
      <c r="E36" s="9"/>
      <c r="F36" s="9"/>
      <c r="G36" s="9"/>
      <c r="H36" s="9"/>
      <c r="I36" s="8"/>
      <c r="J36" s="9"/>
      <c r="K36" s="9"/>
      <c r="L36" s="9"/>
      <c r="M36" s="8"/>
      <c r="N36" s="8"/>
      <c r="O36" s="20"/>
      <c r="P36" s="14"/>
    </row>
    <row r="37" spans="1:16" ht="15.75" customHeight="1" x14ac:dyDescent="0.25">
      <c r="A37" s="8" t="s">
        <v>97</v>
      </c>
      <c r="B37" s="15" t="s">
        <v>98</v>
      </c>
      <c r="C37" s="8" t="s">
        <v>96</v>
      </c>
      <c r="D37" s="9"/>
      <c r="E37" s="9"/>
      <c r="F37" s="9"/>
      <c r="G37" s="9"/>
      <c r="H37" s="9"/>
      <c r="I37" s="8"/>
      <c r="J37" s="9"/>
      <c r="K37" s="9"/>
      <c r="L37" s="9"/>
      <c r="M37" s="8"/>
      <c r="N37" s="8"/>
      <c r="O37" s="20"/>
      <c r="P37" s="14"/>
    </row>
    <row r="38" spans="1:16" ht="15.75" customHeight="1" x14ac:dyDescent="0.25">
      <c r="A38" s="10" t="s">
        <v>124</v>
      </c>
      <c r="B38" s="13" t="s">
        <v>125</v>
      </c>
      <c r="C38" s="8"/>
      <c r="D38" s="14"/>
      <c r="E38" s="14"/>
      <c r="F38" s="14"/>
      <c r="G38" s="14"/>
      <c r="H38" s="14"/>
      <c r="I38" s="14"/>
      <c r="J38" s="14"/>
      <c r="K38" s="14"/>
      <c r="L38" s="14"/>
      <c r="M38" s="14"/>
      <c r="N38" s="14"/>
      <c r="O38" s="19"/>
      <c r="P38" s="14"/>
    </row>
    <row r="39" spans="1:16" ht="31.5" customHeight="1" x14ac:dyDescent="0.25">
      <c r="A39" s="8" t="s">
        <v>126</v>
      </c>
      <c r="B39" s="15" t="s">
        <v>127</v>
      </c>
      <c r="C39" s="8" t="s">
        <v>93</v>
      </c>
      <c r="D39" s="9"/>
      <c r="E39" s="9"/>
      <c r="F39" s="9"/>
      <c r="G39" s="9"/>
      <c r="H39" s="9"/>
      <c r="I39" s="9"/>
      <c r="J39" s="9"/>
      <c r="K39" s="9"/>
      <c r="L39" s="9"/>
      <c r="M39" s="9"/>
      <c r="N39" s="9"/>
      <c r="O39" s="20"/>
      <c r="P39" s="8"/>
    </row>
    <row r="40" spans="1:16" ht="15.75" customHeight="1" x14ac:dyDescent="0.25">
      <c r="A40" s="8" t="s">
        <v>128</v>
      </c>
      <c r="B40" s="15" t="s">
        <v>129</v>
      </c>
      <c r="C40" s="8" t="s">
        <v>130</v>
      </c>
      <c r="D40" s="9"/>
      <c r="E40" s="9"/>
      <c r="F40" s="9"/>
      <c r="G40" s="9"/>
      <c r="H40" s="9"/>
      <c r="I40" s="8"/>
      <c r="J40" s="9"/>
      <c r="K40" s="9"/>
      <c r="L40" s="9"/>
      <c r="M40" s="8"/>
      <c r="N40" s="8"/>
      <c r="O40" s="20"/>
      <c r="P40" s="8"/>
    </row>
    <row r="41" spans="1:16" ht="15.75" customHeight="1" x14ac:dyDescent="0.25">
      <c r="A41" s="8" t="s">
        <v>131</v>
      </c>
      <c r="B41" s="15" t="s">
        <v>132</v>
      </c>
      <c r="C41" s="8" t="s">
        <v>133</v>
      </c>
      <c r="D41" s="9"/>
      <c r="E41" s="9"/>
      <c r="F41" s="9"/>
      <c r="G41" s="9"/>
      <c r="H41" s="9"/>
      <c r="I41" s="8"/>
      <c r="J41" s="9"/>
      <c r="K41" s="9"/>
      <c r="L41" s="9"/>
      <c r="M41" s="8"/>
      <c r="N41" s="8"/>
      <c r="O41" s="20"/>
      <c r="P41" s="14"/>
    </row>
    <row r="42" spans="1:16" ht="31.5" customHeight="1" x14ac:dyDescent="0.25">
      <c r="A42" s="8" t="s">
        <v>134</v>
      </c>
      <c r="B42" s="15" t="s">
        <v>135</v>
      </c>
      <c r="C42" s="8" t="s">
        <v>136</v>
      </c>
      <c r="D42" s="9"/>
      <c r="E42" s="9"/>
      <c r="F42" s="9"/>
      <c r="G42" s="9"/>
      <c r="H42" s="9"/>
      <c r="I42" s="8"/>
      <c r="J42" s="9"/>
      <c r="K42" s="9"/>
      <c r="L42" s="9"/>
      <c r="M42" s="8"/>
      <c r="N42" s="8"/>
      <c r="O42" s="20"/>
      <c r="P42" s="14"/>
    </row>
    <row r="43" spans="1:16" ht="31.5" customHeight="1" x14ac:dyDescent="0.25">
      <c r="A43" s="8" t="s">
        <v>137</v>
      </c>
      <c r="B43" s="15" t="s">
        <v>138</v>
      </c>
      <c r="C43" s="8" t="s">
        <v>80</v>
      </c>
      <c r="D43" s="9"/>
      <c r="E43" s="9"/>
      <c r="F43" s="9"/>
      <c r="G43" s="9"/>
      <c r="H43" s="9"/>
      <c r="I43" s="8"/>
      <c r="J43" s="9"/>
      <c r="K43" s="9"/>
      <c r="L43" s="9"/>
      <c r="M43" s="8"/>
      <c r="N43" s="8"/>
      <c r="O43" s="20"/>
      <c r="P43" s="14"/>
    </row>
    <row r="44" spans="1:16" ht="31.5" customHeight="1" x14ac:dyDescent="0.25">
      <c r="A44" s="8" t="s">
        <v>139</v>
      </c>
      <c r="B44" s="15" t="s">
        <v>140</v>
      </c>
      <c r="C44" s="8" t="s">
        <v>141</v>
      </c>
      <c r="D44" s="9"/>
      <c r="E44" s="9"/>
      <c r="F44" s="9"/>
      <c r="G44" s="9"/>
      <c r="H44" s="9"/>
      <c r="I44" s="8"/>
      <c r="J44" s="9"/>
      <c r="K44" s="9"/>
      <c r="L44" s="9"/>
      <c r="M44" s="8"/>
      <c r="N44" s="8"/>
      <c r="O44" s="20"/>
      <c r="P44" s="14"/>
    </row>
    <row r="45" spans="1:16" ht="15.75" customHeight="1" x14ac:dyDescent="0.25">
      <c r="A45" s="10" t="s">
        <v>142</v>
      </c>
      <c r="B45" s="13" t="s">
        <v>143</v>
      </c>
      <c r="C45" s="8"/>
      <c r="D45" s="14"/>
      <c r="E45" s="14"/>
      <c r="F45" s="14"/>
      <c r="G45" s="14"/>
      <c r="H45" s="14"/>
      <c r="I45" s="14"/>
      <c r="J45" s="14"/>
      <c r="K45" s="14"/>
      <c r="L45" s="14"/>
      <c r="M45" s="14"/>
      <c r="N45" s="14"/>
      <c r="O45" s="19"/>
      <c r="P45" s="14"/>
    </row>
    <row r="46" spans="1:16" ht="31.5" customHeight="1" x14ac:dyDescent="0.25">
      <c r="A46" s="8" t="s">
        <v>144</v>
      </c>
      <c r="B46" s="15" t="s">
        <v>145</v>
      </c>
      <c r="C46" s="8" t="s">
        <v>141</v>
      </c>
      <c r="D46" s="9"/>
      <c r="E46" s="9"/>
      <c r="F46" s="9"/>
      <c r="G46" s="9"/>
      <c r="H46" s="9"/>
      <c r="I46" s="8"/>
      <c r="J46" s="9"/>
      <c r="K46" s="9"/>
      <c r="L46" s="9"/>
      <c r="M46" s="8"/>
      <c r="N46" s="8"/>
      <c r="O46" s="20"/>
      <c r="P46" s="8"/>
    </row>
    <row r="47" spans="1:16" ht="31.5" customHeight="1" x14ac:dyDescent="0.25">
      <c r="A47" s="8" t="s">
        <v>146</v>
      </c>
      <c r="B47" s="15" t="s">
        <v>147</v>
      </c>
      <c r="C47" s="8" t="s">
        <v>141</v>
      </c>
      <c r="D47" s="9"/>
      <c r="E47" s="9"/>
      <c r="F47" s="9"/>
      <c r="G47" s="9"/>
      <c r="H47" s="9"/>
      <c r="I47" s="8"/>
      <c r="J47" s="9"/>
      <c r="K47" s="9"/>
      <c r="L47" s="9"/>
      <c r="M47" s="8"/>
      <c r="N47" s="8"/>
      <c r="O47" s="20"/>
      <c r="P47" s="14"/>
    </row>
    <row r="48" spans="1:16" ht="31.5" customHeight="1" x14ac:dyDescent="0.25">
      <c r="A48" s="8" t="s">
        <v>148</v>
      </c>
      <c r="B48" s="15" t="s">
        <v>149</v>
      </c>
      <c r="C48" s="8" t="s">
        <v>118</v>
      </c>
      <c r="D48" s="9"/>
      <c r="E48" s="9"/>
      <c r="F48" s="9"/>
      <c r="G48" s="9"/>
      <c r="H48" s="9"/>
      <c r="I48" s="8"/>
      <c r="J48" s="9"/>
      <c r="K48" s="9"/>
      <c r="L48" s="9"/>
      <c r="M48" s="8"/>
      <c r="N48" s="8"/>
      <c r="O48" s="20"/>
      <c r="P48" s="14"/>
    </row>
    <row r="49" spans="1:16" ht="31.5" customHeight="1" x14ac:dyDescent="0.25">
      <c r="A49" s="8" t="s">
        <v>150</v>
      </c>
      <c r="B49" s="15" t="s">
        <v>151</v>
      </c>
      <c r="C49" s="8" t="s">
        <v>152</v>
      </c>
      <c r="D49" s="9"/>
      <c r="E49" s="9"/>
      <c r="F49" s="9"/>
      <c r="G49" s="9"/>
      <c r="H49" s="9"/>
      <c r="I49" s="8"/>
      <c r="J49" s="9"/>
      <c r="K49" s="9"/>
      <c r="L49" s="9"/>
      <c r="M49" s="8"/>
      <c r="N49" s="8"/>
      <c r="O49" s="20"/>
      <c r="P49" s="14"/>
    </row>
    <row r="50" spans="1:16" ht="31.5" customHeight="1" x14ac:dyDescent="0.25">
      <c r="A50" s="8" t="s">
        <v>153</v>
      </c>
      <c r="B50" s="15" t="s">
        <v>154</v>
      </c>
      <c r="C50" s="8" t="s">
        <v>152</v>
      </c>
      <c r="D50" s="9"/>
      <c r="E50" s="9"/>
      <c r="F50" s="9"/>
      <c r="G50" s="9"/>
      <c r="H50" s="9"/>
      <c r="I50" s="8"/>
      <c r="J50" s="9"/>
      <c r="K50" s="9"/>
      <c r="L50" s="9"/>
      <c r="M50" s="8"/>
      <c r="N50" s="8"/>
      <c r="O50" s="20"/>
      <c r="P50" s="14"/>
    </row>
    <row r="51" spans="1:16" ht="15.75" customHeight="1" x14ac:dyDescent="0.25">
      <c r="A51" s="10" t="s">
        <v>155</v>
      </c>
      <c r="B51" s="13" t="s">
        <v>156</v>
      </c>
      <c r="C51" s="8"/>
      <c r="D51" s="14"/>
      <c r="E51" s="14"/>
      <c r="F51" s="14"/>
      <c r="G51" s="14"/>
      <c r="H51" s="14"/>
      <c r="I51" s="14"/>
      <c r="J51" s="14"/>
      <c r="K51" s="14"/>
      <c r="L51" s="14"/>
      <c r="M51" s="14"/>
      <c r="N51" s="14"/>
      <c r="O51" s="19"/>
      <c r="P51" s="14"/>
    </row>
    <row r="52" spans="1:16" ht="31.5" customHeight="1" x14ac:dyDescent="0.25">
      <c r="A52" s="8" t="s">
        <v>157</v>
      </c>
      <c r="B52" s="15" t="s">
        <v>158</v>
      </c>
      <c r="C52" s="8" t="s">
        <v>159</v>
      </c>
      <c r="D52" s="9"/>
      <c r="E52" s="9"/>
      <c r="F52" s="9"/>
      <c r="G52" s="9"/>
      <c r="H52" s="9"/>
      <c r="I52" s="8"/>
      <c r="J52" s="9"/>
      <c r="K52" s="9"/>
      <c r="L52" s="9"/>
      <c r="M52" s="8"/>
      <c r="N52" s="8"/>
      <c r="O52" s="20"/>
      <c r="P52" s="14"/>
    </row>
    <row r="53" spans="1:16" ht="15.75" customHeight="1" x14ac:dyDescent="0.25">
      <c r="A53" s="10" t="s">
        <v>160</v>
      </c>
      <c r="B53" s="13" t="s">
        <v>161</v>
      </c>
      <c r="C53" s="8"/>
      <c r="D53" s="14"/>
      <c r="E53" s="14"/>
      <c r="F53" s="14"/>
      <c r="G53" s="14"/>
      <c r="H53" s="14"/>
      <c r="I53" s="14"/>
      <c r="J53" s="14"/>
      <c r="K53" s="14"/>
      <c r="L53" s="14"/>
      <c r="M53" s="14"/>
      <c r="N53" s="14"/>
      <c r="O53" s="19"/>
      <c r="P53" s="14"/>
    </row>
    <row r="54" spans="1:16" ht="15.75" customHeight="1" x14ac:dyDescent="0.25">
      <c r="A54" s="8" t="s">
        <v>162</v>
      </c>
      <c r="B54" s="15" t="s">
        <v>163</v>
      </c>
      <c r="C54" s="8" t="s">
        <v>164</v>
      </c>
      <c r="D54" s="9"/>
      <c r="E54" s="9"/>
      <c r="F54" s="9"/>
      <c r="G54" s="9"/>
      <c r="H54" s="9"/>
      <c r="I54" s="8"/>
      <c r="J54" s="9"/>
      <c r="K54" s="9"/>
      <c r="L54" s="9"/>
      <c r="M54" s="8"/>
      <c r="N54" s="8"/>
      <c r="O54" s="20"/>
      <c r="P54" s="14"/>
    </row>
    <row r="55" spans="1:16" ht="15.75" customHeight="1" x14ac:dyDescent="0.25">
      <c r="A55" s="8" t="s">
        <v>165</v>
      </c>
      <c r="B55" s="15" t="s">
        <v>166</v>
      </c>
      <c r="C55" s="8" t="s">
        <v>164</v>
      </c>
      <c r="D55" s="9"/>
      <c r="E55" s="9"/>
      <c r="F55" s="9"/>
      <c r="G55" s="9"/>
      <c r="H55" s="9"/>
      <c r="I55" s="8"/>
      <c r="J55" s="9"/>
      <c r="K55" s="9"/>
      <c r="L55" s="9"/>
      <c r="M55" s="8"/>
      <c r="N55" s="8"/>
      <c r="O55" s="20"/>
      <c r="P55" s="14"/>
    </row>
    <row r="56" spans="1:16" ht="15.75" customHeight="1" x14ac:dyDescent="0.25">
      <c r="A56" s="8" t="s">
        <v>167</v>
      </c>
      <c r="B56" s="15" t="s">
        <v>168</v>
      </c>
      <c r="C56" s="8" t="s">
        <v>164</v>
      </c>
      <c r="D56" s="9"/>
      <c r="E56" s="9"/>
      <c r="F56" s="9"/>
      <c r="G56" s="9"/>
      <c r="H56" s="9"/>
      <c r="I56" s="8"/>
      <c r="J56" s="9"/>
      <c r="K56" s="9"/>
      <c r="L56" s="9"/>
      <c r="M56" s="8"/>
      <c r="N56" s="8"/>
      <c r="O56" s="20"/>
      <c r="P56" s="14"/>
    </row>
    <row r="57" spans="1:16" ht="15.75" customHeight="1" x14ac:dyDescent="0.25">
      <c r="A57" s="8" t="s">
        <v>169</v>
      </c>
      <c r="B57" s="15" t="s">
        <v>170</v>
      </c>
      <c r="C57" s="8" t="s">
        <v>164</v>
      </c>
      <c r="D57" s="9"/>
      <c r="E57" s="9"/>
      <c r="F57" s="9"/>
      <c r="G57" s="9"/>
      <c r="H57" s="9"/>
      <c r="I57" s="8"/>
      <c r="J57" s="9"/>
      <c r="K57" s="9"/>
      <c r="L57" s="9"/>
      <c r="M57" s="8"/>
      <c r="N57" s="8"/>
      <c r="O57" s="20"/>
      <c r="P57" s="14"/>
    </row>
    <row r="59" spans="1:16" ht="15" customHeight="1" x14ac:dyDescent="0.25">
      <c r="A59" s="35" t="s">
        <v>191</v>
      </c>
      <c r="B59" s="35"/>
      <c r="C59" s="35"/>
      <c r="D59" s="35"/>
      <c r="E59" s="35"/>
      <c r="F59" s="35"/>
      <c r="G59" s="35"/>
      <c r="H59" s="35"/>
      <c r="I59" s="35"/>
      <c r="J59" s="35"/>
      <c r="K59" s="35"/>
      <c r="L59" s="35"/>
      <c r="M59" s="35"/>
      <c r="N59" s="35"/>
      <c r="O59" s="35"/>
      <c r="P59" s="35"/>
    </row>
    <row r="60" spans="1:16" ht="45.75" customHeight="1" x14ac:dyDescent="0.25">
      <c r="A60" s="36" t="s">
        <v>195</v>
      </c>
      <c r="B60" s="32"/>
      <c r="C60" s="32"/>
      <c r="D60" s="32"/>
      <c r="E60" s="32"/>
      <c r="F60" s="32"/>
      <c r="G60" s="32"/>
      <c r="H60" s="32"/>
      <c r="I60" s="32"/>
      <c r="J60" s="32"/>
      <c r="K60" s="32"/>
      <c r="L60" s="32"/>
      <c r="M60" s="32"/>
      <c r="N60" s="32"/>
      <c r="O60" s="32"/>
      <c r="P60" s="32"/>
    </row>
  </sheetData>
  <mergeCells count="5">
    <mergeCell ref="A1:P1"/>
    <mergeCell ref="A5:P5"/>
    <mergeCell ref="A6:P6"/>
    <mergeCell ref="A59:P59"/>
    <mergeCell ref="A60:P60"/>
  </mergeCells>
  <pageMargins left="0.75" right="0.46" top="0.35" bottom="0.52986111111111101" header="0.511811023622047" footer="0.511811023622047"/>
  <pageSetup paperSize="9" scale="70"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Mau 03 - NV trong tam</vt:lpstr>
      <vt:lpstr>Mau 04A - Chi cuc gui Cuc</vt:lpstr>
      <vt:lpstr>Mau 04B - Don vi (quy)</vt:lpstr>
      <vt:lpstr>Mau 04C - Đăng ký, điều chỉnh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cp:lastModifiedBy>
  <cp:revision>0</cp:revision>
  <cp:lastPrinted>2026-09-09T02:58:01Z</cp:lastPrinted>
  <dcterms:created xsi:type="dcterms:W3CDTF">2026-09-06T18:12:47Z</dcterms:created>
  <dcterms:modified xsi:type="dcterms:W3CDTF">2026-09-09T02:58:42Z</dcterms:modified>
  <dc:language>en-US</dc:language>
</cp:coreProperties>
</file>