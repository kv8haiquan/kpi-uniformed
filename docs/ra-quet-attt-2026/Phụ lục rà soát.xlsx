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115" windowHeight="9390" tabRatio="500" firstSheet="0" activeTab="0" autoFilterDateGrouping="1"/>
  </bookViews>
  <sheets>
    <sheet xmlns:r="http://schemas.openxmlformats.org/officeDocument/2006/relationships" name="BIEU_RA_SOAT" sheetId="1" state="visible" r:id="rId1"/>
    <sheet xmlns:r="http://schemas.openxmlformats.org/officeDocument/2006/relationships" name="TONG_HOP" sheetId="2" state="visible" r:id="rId2"/>
    <sheet xmlns:r="http://schemas.openxmlformats.org/officeDocument/2006/relationships" name="HUONG_DAN" sheetId="3" state="visible" r:id="rId3"/>
  </sheets>
  <definedNames>
    <definedName name="_xlnm.Print_Titles" localSheetId="0">'BIEU_RA_SOAT'!$7:$7</definedName>
  </definedNames>
  <calcPr calcId="162913" fullCalcOnLoad="1"/>
</workbook>
</file>

<file path=xl/styles.xml><?xml version="1.0" encoding="utf-8"?>
<styleSheet xmlns="http://schemas.openxmlformats.org/spreadsheetml/2006/main">
  <numFmts count="1">
    <numFmt numFmtId="164" formatCode="0.0%"/>
  </numFmts>
  <fonts count="9">
    <font>
      <name val="Calibri"/>
      <charset val="1"/>
      <family val="2"/>
      <color theme="1"/>
      <sz val="11"/>
    </font>
    <font>
      <name val="Times New Roman"/>
      <charset val="1"/>
      <b val="1"/>
      <sz val="14"/>
    </font>
    <font>
      <name val="Times New Roman"/>
      <charset val="1"/>
      <i val="1"/>
      <sz val="11"/>
    </font>
    <font>
      <name val="Times New Roman"/>
      <charset val="1"/>
      <b val="1"/>
      <sz val="11"/>
    </font>
    <font>
      <name val="Times New Roman"/>
      <charset val="1"/>
      <sz val="11"/>
    </font>
    <font>
      <name val="Times New Roman"/>
      <charset val="1"/>
      <i val="1"/>
      <color rgb="FFC00000"/>
      <sz val="10"/>
    </font>
    <font>
      <name val="Times New Roman"/>
      <family val="1"/>
      <b val="1"/>
      <sz val="11"/>
    </font>
    <font>
      <name val="Times New Roman"/>
      <family val="1"/>
      <i val="1"/>
      <sz val="11"/>
    </font>
    <font>
      <name val="Calibri"/>
      <charset val="1"/>
      <family val="2"/>
      <sz val="11"/>
    </font>
  </fonts>
  <fills count="4">
    <fill>
      <patternFill/>
    </fill>
    <fill>
      <patternFill patternType="gray125"/>
    </fill>
    <fill>
      <patternFill patternType="solid">
        <fgColor theme="0"/>
        <bgColor rgb="FF003366"/>
      </patternFill>
    </fill>
    <fill>
      <patternFill patternType="solid">
        <fgColor theme="0"/>
        <bgColor indexed="64"/>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pivotButton="0" quotePrefix="0" xfId="0"/>
    <xf numFmtId="0" fontId="5" fillId="0" borderId="0" pivotButton="0" quotePrefix="0" xfId="0"/>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14" fontId="4" fillId="0" borderId="1" applyAlignment="1" pivotButton="0" quotePrefix="0" xfId="0">
      <alignment horizontal="center" vertical="top" wrapText="1"/>
    </xf>
    <xf numFmtId="3" fontId="4" fillId="0" borderId="1" applyAlignment="1" pivotButton="0" quotePrefix="0" xfId="0">
      <alignment horizontal="center" vertical="top" wrapText="1"/>
    </xf>
    <xf numFmtId="0" fontId="4" fillId="0" borderId="1" pivotButton="0" quotePrefix="0" xfId="0"/>
    <xf numFmtId="3" fontId="3" fillId="0" borderId="1" applyAlignment="1" pivotButton="0" quotePrefix="0" xfId="0">
      <alignment horizontal="center"/>
    </xf>
    <xf numFmtId="164" fontId="3" fillId="0" borderId="1" applyAlignment="1" pivotButton="0" quotePrefix="0" xfId="0">
      <alignment horizontal="center"/>
    </xf>
    <xf numFmtId="0" fontId="3" fillId="0" borderId="2" applyAlignment="1" pivotButton="0" quotePrefix="0" xfId="0">
      <alignment horizontal="center" vertical="center"/>
    </xf>
    <xf numFmtId="0" fontId="4" fillId="0" borderId="2" applyAlignment="1" pivotButton="0" quotePrefix="0" xfId="0">
      <alignment horizontal="left" vertical="center" wrapText="1"/>
    </xf>
    <xf numFmtId="0" fontId="0" fillId="0" borderId="0" pivotButton="0" quotePrefix="0" xfId="0"/>
    <xf numFmtId="0" fontId="6" fillId="0" borderId="1" applyAlignment="1" pivotButton="0" quotePrefix="0" xfId="0">
      <alignment horizontal="center"/>
    </xf>
    <xf numFmtId="0" fontId="6" fillId="2" borderId="1" applyAlignment="1" pivotButton="0" quotePrefix="0" xfId="0">
      <alignment horizontal="center" vertical="center" wrapText="1"/>
    </xf>
    <xf numFmtId="0" fontId="8" fillId="3" borderId="0" pivotButton="0" quotePrefix="0" xfId="0"/>
    <xf numFmtId="0" fontId="3" fillId="0" borderId="0" applyAlignment="1" pivotButton="0" quotePrefix="0" xfId="0">
      <alignment horizontal="center"/>
    </xf>
    <xf numFmtId="0" fontId="2" fillId="0" borderId="0" applyAlignment="1" pivotButton="0" quotePrefix="0" xfId="0">
      <alignment horizontal="center"/>
    </xf>
    <xf numFmtId="0" fontId="1" fillId="0" borderId="0" applyAlignment="1" pivotButton="0" quotePrefix="0" xfId="0">
      <alignment horizontal="center" vertical="center" wrapText="1"/>
    </xf>
    <xf numFmtId="0" fontId="7" fillId="0" borderId="0" applyAlignment="1" pivotButton="0" quotePrefix="0" xfId="0">
      <alignment horizontal="center"/>
    </xf>
    <xf numFmtId="0" fontId="3" fillId="0" borderId="0" pivotButton="0" quotePrefix="0" xfId="0"/>
    <xf numFmtId="0" fontId="4" fillId="0" borderId="0" pivotButton="0" quotePrefix="0" xfId="0"/>
    <xf numFmtId="0" fontId="1" fillId="0" borderId="0" applyAlignment="1" pivotButton="0" quotePrefix="0" xfId="0">
      <alignment horizontal="center"/>
    </xf>
    <xf numFmtId="0" fontId="1"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R36"/>
  <sheetViews>
    <sheetView tabSelected="1" zoomScaleNormal="100" workbookViewId="0">
      <pane xSplit="1" ySplit="7" topLeftCell="B11" activePane="bottomRight" state="frozen"/>
      <selection pane="topRight" activeCell="B1" sqref="B1"/>
      <selection pane="bottomLeft" activeCell="A8" sqref="A8"/>
      <selection pane="bottomRight" activeCell="H16" sqref="H16"/>
    </sheetView>
  </sheetViews>
  <sheetFormatPr baseColWidth="8" defaultColWidth="8.7109375" defaultRowHeight="15"/>
  <cols>
    <col width="6" customWidth="1" style="11" min="1" max="1"/>
    <col width="24" customWidth="1" style="11" min="2" max="2"/>
    <col width="15.140625" customWidth="1" style="11" min="3" max="3"/>
    <col width="15.42578125" customWidth="1" style="11" min="4" max="4"/>
    <col width="14" customWidth="1" style="11" min="5" max="5"/>
    <col width="20.28515625" customWidth="1" style="11" min="6" max="6"/>
    <col width="22" customWidth="1" style="11" min="7" max="7"/>
    <col width="16" customWidth="1" style="11" min="8" max="8"/>
    <col width="20" customWidth="1" style="11" min="9" max="9"/>
    <col width="10" customWidth="1" style="11" min="10" max="10"/>
    <col width="18" customWidth="1" style="11" min="11" max="11"/>
    <col width="14" customWidth="1" style="11" min="12" max="12"/>
    <col width="20" customWidth="1" style="11" min="13" max="13"/>
    <col width="14" customWidth="1" style="11" min="14" max="14"/>
    <col width="12" customWidth="1" style="11" min="15" max="16"/>
    <col width="24" customWidth="1" style="11" min="17" max="17"/>
    <col width="20" customWidth="1" style="11" min="18" max="18"/>
  </cols>
  <sheetData>
    <row r="1" ht="39.75" customHeight="1" s="11">
      <c r="A1" s="17" t="inlineStr">
        <is>
          <t>Phụ lục
BIỂU RÀ SOÁT PHẦN MỀM, ỨNG DỤNG DO ĐƠN VỊ TỰ XÂY DỰNG</t>
        </is>
      </c>
    </row>
    <row r="2">
      <c r="A2" s="18" t="inlineStr">
        <is>
          <t>(Kèm theo Công văn số        /HQKV8-CNTT ngày      tháng      năm 2026 của Chi cục Hải quan khu vực VIII)</t>
        </is>
      </c>
    </row>
    <row r="4">
      <c r="A4" s="19" t="inlineStr">
        <is>
          <t>Đơn vị báo cáo:</t>
        </is>
      </c>
      <c r="C4" s="20" t="inlineStr">
        <is>
          <t>Chi cục Hải quan khu vực VIII</t>
        </is>
      </c>
      <c r="H4" s="1" t="inlineStr">
        <is>
          <t>Ghi chú: Đơn vị không có phần mềm tự xây dựng vẫn phải báo cáo, ghi rõ "Không có".</t>
        </is>
      </c>
    </row>
    <row r="5">
      <c r="A5" s="19" t="inlineStr">
        <is>
          <t>Người lập biểu / Số điện thoại:</t>
        </is>
      </c>
      <c r="C5" s="20" t="inlineStr">
        <is>
          <t>Trần Lương Khánh Anh — 0399756004</t>
        </is>
      </c>
    </row>
    <row r="7" ht="48" customFormat="1" customHeight="1" s="14">
      <c r="A7" s="13" t="inlineStr">
        <is>
          <t>STT</t>
        </is>
      </c>
      <c r="B7" s="13" t="inlineStr">
        <is>
          <t>Tên phần mềm/ứng dụng</t>
        </is>
      </c>
      <c r="C7" s="13" t="inlineStr">
        <is>
          <t>Đơn vị/cá nhân xây dựng</t>
        </is>
      </c>
      <c r="D7" s="13" t="inlineStr">
        <is>
          <t>Mục đích, phạm vi nghiệp vụ</t>
        </is>
      </c>
      <c r="E7" s="13" t="inlineStr">
        <is>
          <t>Thời điểm đưa vào sử dụng</t>
        </is>
      </c>
      <c r="F7" s="13" t="inlineStr">
        <is>
          <t>Công nghệ (ngôn ngữ, framework, CSDL)</t>
        </is>
      </c>
      <c r="G7" s="13" t="inlineStr">
        <is>
          <t>Hạ tầng triển khai (máy chủ đặt tại)</t>
        </is>
      </c>
      <c r="H7" s="13" t="inlineStr">
        <is>
          <t>Phạm vi truy cập</t>
        </is>
      </c>
      <c r="I7" s="13" t="inlineStr">
        <is>
          <t>Địa chỉ IP / Tên miền</t>
        </is>
      </c>
      <c r="J7" s="13" t="inlineStr">
        <is>
          <t>Số người dùng</t>
        </is>
      </c>
      <c r="K7" s="13" t="inlineStr">
        <is>
          <t>Loại dữ liệu xử lý</t>
        </is>
      </c>
      <c r="L7" s="13" t="inlineStr">
        <is>
          <t>Đã kiểm tra, đánh giá ATTT?</t>
        </is>
      </c>
      <c r="M7" s="13" t="inlineStr">
        <is>
          <t>Số văn bản phê duyệt đánh giá ATTT</t>
        </is>
      </c>
      <c r="N7" s="13" t="inlineStr">
        <is>
          <t>Đã xác định cấp độ ATTT?</t>
        </is>
      </c>
      <c r="O7" s="13" t="inlineStr">
        <is>
          <t>Cập nhật bản vá định kỳ?</t>
        </is>
      </c>
      <c r="P7" s="13" t="inlineStr">
        <is>
          <t>Ghi nhật ký &amp; giám sát?</t>
        </is>
      </c>
      <c r="Q7" s="13" t="inlineStr">
        <is>
          <t>Quản trị viên (họ tên, chức vụ, SĐT)</t>
        </is>
      </c>
      <c r="R7" s="13" t="inlineStr">
        <is>
          <t>Đề xuất</t>
        </is>
      </c>
    </row>
    <row r="8" s="11">
      <c r="A8" s="2">
        <f>IF(B8="","",ROW()-7)</f>
        <v/>
      </c>
      <c r="B8" s="3" t="inlineStr">
        <is>
          <t>Hệ thống theo dõi, đánh giá KPI và Nền tảng số Chi cục Hải quan khu vực VIII (kpihaiquan.vn)</t>
        </is>
      </c>
      <c r="C8" s="3" t="inlineStr">
        <is>
          <t>Chi cục Hải quan khu vực VIII tự xây dựng (công chức của Chi cục tự phát triển, không thuê ngoài)</t>
        </is>
      </c>
      <c r="D8" s="3" t="inlineStr">
        <is>
          <t>Số hóa toàn trình kê khai công việc, thẩm định, phê duyệt, chấm điểm KPI, đánh giá tiêu chí chung và xếp loại chất lượng công chức hằng tháng/quý; mở rộng thành nền tảng số nội bộ gồm 9 phân hệ: KPI (lõi), Đào tạo trực tuyến và thi đánh giá năng lực (LMS), Họp Không Giấy, Chỉ tiêu đơn vị, Diễn đàn nghiệp vụ, Tra cứu pháp luật, Cổng thông tin nội bộ, Phân hệ dùng chung. Phạm vi: nội bộ Chi cục — 15 đơn vị.</t>
        </is>
      </c>
      <c r="E8" s="4" t="inlineStr">
        <is>
          <t>02/02/2026</t>
        </is>
      </c>
      <c r="F8" s="3" t="inlineStr">
        <is>
          <t>Backend: Python 3.10, FastAPI 0.141, SQLAlchemy 2.0 (async), Alembic; Frontend: Next.js 16.2, React 19, TypeScript 5, Tailwind CSS 4; CSDL: PostgreSQL 15; Web server: nginx 1.24; Quản lý tiến trình: PM2 6.0</t>
        </is>
      </c>
      <c r="G8" s="3" t="inlineStr">
        <is>
          <t>Máy chủ ảo (Cloud VPS) thuê dịch vụ của FPT Cloud, đặt tại trung tâm dữ liệu trong nước (Việt Nam); hệ điều hành Ubuntu 24.04.4 LTS; không đặt tại phòng máy chủ của Chi cục</t>
        </is>
      </c>
      <c r="H8" s="2" t="inlineStr">
        <is>
          <t>Internet</t>
        </is>
      </c>
      <c r="I8" s="3" t="inlineStr">
        <is>
          <t>Tên miền: kpihaiquan.vn, www.kpihaiquan.vn — IP: 79.108.216.189; truy cập qua HTTPS/443 (chứng thư Let's Encrypt, tự gia hạn). Các cổng dịch vụ 3000, 8000–8007 và PostgreSQL 5432 chỉ bind nội bộ máy chủ, không mở ra Internet.</t>
        </is>
      </c>
      <c r="J8" s="5" t="n">
        <v>558</v>
      </c>
      <c r="K8" s="3" t="inlineStr">
        <is>
          <t>Dữ liệu cá nhân</t>
        </is>
      </c>
      <c r="L8" s="2" t="inlineStr">
        <is>
          <t>Có</t>
        </is>
      </c>
      <c r="M8" s="3" t="inlineStr">
        <is>
          <t>Chưa có văn bản phê duyệt. Đơn vị đã tự kiểm tra, rà quét nội bộ (bandit, pip-audit, npm audit) và khắc phục ngày 31/7/2026; đang lập hồ sơ trình kiểm tra, đánh giá ATTT theo Công văn số 153/CNTT ngày 08/7/2026.</t>
        </is>
      </c>
      <c r="N8" s="2" t="inlineStr">
        <is>
          <t>Chưa xác định</t>
        </is>
      </c>
      <c r="O8" s="2" t="inlineStr">
        <is>
          <t>Có</t>
        </is>
      </c>
      <c r="P8" s="2" t="inlineStr">
        <is>
          <t>Có</t>
        </is>
      </c>
      <c r="Q8" s="3" t="inlineStr">
        <is>
          <t>Trần Lương Khánh Anh — 0399756004</t>
        </is>
      </c>
      <c r="R8" s="3" t="inlineStr">
        <is>
          <t>Duy trì</t>
        </is>
      </c>
    </row>
    <row r="9" ht="30" customHeight="1" s="11">
      <c r="A9" s="2">
        <f>IF(B9="","",ROW()-7)</f>
        <v/>
      </c>
      <c r="B9" s="3" t="n"/>
      <c r="C9" s="3" t="n"/>
      <c r="D9" s="3" t="n"/>
      <c r="E9" s="4" t="n"/>
      <c r="F9" s="3" t="n"/>
      <c r="G9" s="3" t="n"/>
      <c r="H9" s="2" t="n"/>
      <c r="I9" s="3" t="n"/>
      <c r="J9" s="5" t="n"/>
      <c r="K9" s="3" t="n"/>
      <c r="L9" s="2" t="n"/>
      <c r="M9" s="3" t="n"/>
      <c r="N9" s="2" t="n"/>
      <c r="O9" s="2" t="n"/>
      <c r="P9" s="2" t="n"/>
      <c r="Q9" s="3" t="n"/>
      <c r="R9" s="3" t="n"/>
    </row>
    <row r="10" ht="30" customHeight="1" s="11">
      <c r="A10" s="2">
        <f>IF(B10="","",ROW()-7)</f>
        <v/>
      </c>
      <c r="B10" s="3" t="n"/>
      <c r="C10" s="3" t="n"/>
      <c r="D10" s="3" t="n"/>
      <c r="E10" s="4" t="n"/>
      <c r="F10" s="3" t="n"/>
      <c r="G10" s="3" t="n"/>
      <c r="H10" s="2" t="n"/>
      <c r="I10" s="3" t="n"/>
      <c r="J10" s="5" t="n"/>
      <c r="K10" s="3" t="n"/>
      <c r="L10" s="2" t="n"/>
      <c r="M10" s="3" t="n"/>
      <c r="N10" s="2" t="n"/>
      <c r="O10" s="2" t="n"/>
      <c r="P10" s="2" t="n"/>
      <c r="Q10" s="3" t="n"/>
      <c r="R10" s="3" t="n"/>
    </row>
    <row r="11" ht="30" customHeight="1" s="11">
      <c r="A11" s="2">
        <f>IF(B11="","",ROW()-7)</f>
        <v/>
      </c>
      <c r="B11" s="3" t="n"/>
      <c r="C11" s="3" t="n"/>
      <c r="D11" s="3" t="n"/>
      <c r="E11" s="4" t="n"/>
      <c r="F11" s="3" t="n"/>
      <c r="G11" s="3" t="n"/>
      <c r="H11" s="2" t="n"/>
      <c r="I11" s="3" t="n"/>
      <c r="J11" s="5" t="n"/>
      <c r="K11" s="3" t="n"/>
      <c r="L11" s="2" t="n"/>
      <c r="M11" s="3" t="n"/>
      <c r="N11" s="2" t="n"/>
      <c r="O11" s="2" t="n"/>
      <c r="P11" s="2" t="n"/>
      <c r="Q11" s="3" t="n"/>
      <c r="R11" s="3" t="n"/>
    </row>
    <row r="12" ht="30" customHeight="1" s="11">
      <c r="A12" s="2">
        <f>IF(B12="","",ROW()-7)</f>
        <v/>
      </c>
      <c r="B12" s="3" t="n"/>
      <c r="C12" s="3" t="n"/>
      <c r="D12" s="3" t="n"/>
      <c r="E12" s="4" t="n"/>
      <c r="F12" s="3" t="n"/>
      <c r="G12" s="3" t="n"/>
      <c r="H12" s="2" t="n"/>
      <c r="I12" s="3" t="n"/>
      <c r="J12" s="5" t="n"/>
      <c r="K12" s="3" t="n"/>
      <c r="L12" s="2" t="n"/>
      <c r="M12" s="3" t="n"/>
      <c r="N12" s="2" t="n"/>
      <c r="O12" s="2" t="n"/>
      <c r="P12" s="2" t="n"/>
      <c r="Q12" s="3" t="n"/>
      <c r="R12" s="3" t="n"/>
    </row>
    <row r="13" ht="30" customHeight="1" s="11">
      <c r="A13" s="2">
        <f>IF(B13="","",ROW()-7)</f>
        <v/>
      </c>
      <c r="B13" s="3" t="n"/>
      <c r="C13" s="3" t="n"/>
      <c r="D13" s="3" t="n"/>
      <c r="E13" s="4" t="n"/>
      <c r="F13" s="3" t="n"/>
      <c r="G13" s="3" t="n"/>
      <c r="H13" s="2" t="n"/>
      <c r="I13" s="3" t="n"/>
      <c r="J13" s="5" t="n"/>
      <c r="K13" s="3" t="n"/>
      <c r="L13" s="2" t="n"/>
      <c r="M13" s="3" t="n"/>
      <c r="N13" s="2" t="n"/>
      <c r="O13" s="2" t="n"/>
      <c r="P13" s="2" t="n"/>
      <c r="Q13" s="3" t="n"/>
      <c r="R13" s="3" t="n"/>
    </row>
    <row r="14" ht="30" customHeight="1" s="11">
      <c r="A14" s="2">
        <f>IF(B14="","",ROW()-7)</f>
        <v/>
      </c>
      <c r="B14" s="3" t="n"/>
      <c r="C14" s="3" t="n"/>
      <c r="D14" s="3" t="n"/>
      <c r="E14" s="4" t="n"/>
      <c r="F14" s="3" t="n"/>
      <c r="G14" s="3" t="n"/>
      <c r="H14" s="2" t="n"/>
      <c r="I14" s="3" t="n"/>
      <c r="J14" s="5" t="n"/>
      <c r="K14" s="3" t="n"/>
      <c r="L14" s="2" t="n"/>
      <c r="M14" s="3" t="n"/>
      <c r="N14" s="2" t="n"/>
      <c r="O14" s="2" t="n"/>
      <c r="P14" s="2" t="n"/>
      <c r="Q14" s="3" t="n"/>
      <c r="R14" s="3" t="n"/>
    </row>
    <row r="15" ht="30" customHeight="1" s="11">
      <c r="A15" s="2">
        <f>IF(B15="","",ROW()-7)</f>
        <v/>
      </c>
      <c r="B15" s="3" t="n"/>
      <c r="C15" s="3" t="n"/>
      <c r="D15" s="3" t="n"/>
      <c r="E15" s="4" t="n"/>
      <c r="F15" s="3" t="n"/>
      <c r="G15" s="3" t="n"/>
      <c r="H15" s="2" t="n"/>
      <c r="I15" s="3" t="n"/>
      <c r="J15" s="5" t="n"/>
      <c r="K15" s="3" t="n"/>
      <c r="L15" s="2" t="n"/>
      <c r="M15" s="3" t="n"/>
      <c r="N15" s="2" t="n"/>
      <c r="O15" s="2" t="n"/>
      <c r="P15" s="2" t="n"/>
      <c r="Q15" s="3" t="n"/>
      <c r="R15" s="3" t="n"/>
    </row>
    <row r="16" ht="30" customHeight="1" s="11">
      <c r="A16" s="2">
        <f>IF(B16="","",ROW()-7)</f>
        <v/>
      </c>
      <c r="B16" s="3" t="n"/>
      <c r="C16" s="3" t="n"/>
      <c r="D16" s="3" t="n"/>
      <c r="E16" s="4" t="n"/>
      <c r="F16" s="3" t="n"/>
      <c r="G16" s="3" t="n"/>
      <c r="H16" s="2" t="n"/>
      <c r="I16" s="3" t="n"/>
      <c r="J16" s="5" t="n"/>
      <c r="K16" s="3" t="n"/>
      <c r="L16" s="2" t="n"/>
      <c r="M16" s="3" t="n"/>
      <c r="N16" s="2" t="n"/>
      <c r="O16" s="2" t="n"/>
      <c r="P16" s="2" t="n"/>
      <c r="Q16" s="3" t="n"/>
      <c r="R16" s="3" t="n"/>
    </row>
    <row r="17" ht="30" customHeight="1" s="11">
      <c r="A17" s="2">
        <f>IF(B17="","",ROW()-7)</f>
        <v/>
      </c>
      <c r="B17" s="3" t="n"/>
      <c r="C17" s="3" t="n"/>
      <c r="D17" s="3" t="n"/>
      <c r="E17" s="4" t="n"/>
      <c r="F17" s="3" t="n"/>
      <c r="G17" s="3" t="n"/>
      <c r="H17" s="2" t="n"/>
      <c r="I17" s="3" t="n"/>
      <c r="J17" s="5" t="n"/>
      <c r="K17" s="3" t="n"/>
      <c r="L17" s="2" t="n"/>
      <c r="M17" s="3" t="n"/>
      <c r="N17" s="2" t="n"/>
      <c r="O17" s="2" t="n"/>
      <c r="P17" s="2" t="n"/>
      <c r="Q17" s="3" t="n"/>
      <c r="R17" s="3" t="n"/>
    </row>
    <row r="18" ht="30" customHeight="1" s="11">
      <c r="A18" s="2">
        <f>IF(B18="","",ROW()-7)</f>
        <v/>
      </c>
      <c r="B18" s="3" t="n"/>
      <c r="C18" s="3" t="n"/>
      <c r="D18" s="3" t="n"/>
      <c r="E18" s="4" t="n"/>
      <c r="F18" s="3" t="n"/>
      <c r="G18" s="3" t="n"/>
      <c r="H18" s="2" t="n"/>
      <c r="I18" s="3" t="n"/>
      <c r="J18" s="5" t="n"/>
      <c r="K18" s="3" t="n"/>
      <c r="L18" s="2" t="n"/>
      <c r="M18" s="3" t="n"/>
      <c r="N18" s="2" t="n"/>
      <c r="O18" s="2" t="n"/>
      <c r="P18" s="2" t="n"/>
      <c r="Q18" s="3" t="n"/>
      <c r="R18" s="3" t="n"/>
    </row>
    <row r="19" ht="30" customHeight="1" s="11">
      <c r="A19" s="2">
        <f>IF(B19="","",ROW()-7)</f>
        <v/>
      </c>
      <c r="B19" s="3" t="n"/>
      <c r="C19" s="3" t="n"/>
      <c r="D19" s="3" t="n"/>
      <c r="E19" s="4" t="n"/>
      <c r="F19" s="3" t="n"/>
      <c r="G19" s="3" t="n"/>
      <c r="H19" s="2" t="n"/>
      <c r="I19" s="3" t="n"/>
      <c r="J19" s="5" t="n"/>
      <c r="K19" s="3" t="n"/>
      <c r="L19" s="2" t="n"/>
      <c r="M19" s="3" t="n"/>
      <c r="N19" s="2" t="n"/>
      <c r="O19" s="2" t="n"/>
      <c r="P19" s="2" t="n"/>
      <c r="Q19" s="3" t="n"/>
      <c r="R19" s="3" t="n"/>
    </row>
    <row r="20" ht="30" customHeight="1" s="11">
      <c r="A20" s="2">
        <f>IF(B20="","",ROW()-7)</f>
        <v/>
      </c>
      <c r="B20" s="3" t="n"/>
      <c r="C20" s="3" t="n"/>
      <c r="D20" s="3" t="n"/>
      <c r="E20" s="4" t="n"/>
      <c r="F20" s="3" t="n"/>
      <c r="G20" s="3" t="n"/>
      <c r="H20" s="2" t="n"/>
      <c r="I20" s="3" t="n"/>
      <c r="J20" s="5" t="n"/>
      <c r="K20" s="3" t="n"/>
      <c r="L20" s="2" t="n"/>
      <c r="M20" s="3" t="n"/>
      <c r="N20" s="2" t="n"/>
      <c r="O20" s="2" t="n"/>
      <c r="P20" s="2" t="n"/>
      <c r="Q20" s="3" t="n"/>
      <c r="R20" s="3" t="n"/>
    </row>
    <row r="21" ht="30" customHeight="1" s="11">
      <c r="A21" s="2">
        <f>IF(B21="","",ROW()-7)</f>
        <v/>
      </c>
      <c r="B21" s="3" t="n"/>
      <c r="C21" s="3" t="n"/>
      <c r="D21" s="3" t="n"/>
      <c r="E21" s="4" t="n"/>
      <c r="F21" s="3" t="n"/>
      <c r="G21" s="3" t="n"/>
      <c r="H21" s="2" t="n"/>
      <c r="I21" s="3" t="n"/>
      <c r="J21" s="5" t="n"/>
      <c r="K21" s="3" t="n"/>
      <c r="L21" s="2" t="n"/>
      <c r="M21" s="3" t="n"/>
      <c r="N21" s="2" t="n"/>
      <c r="O21" s="2" t="n"/>
      <c r="P21" s="2" t="n"/>
      <c r="Q21" s="3" t="n"/>
      <c r="R21" s="3" t="n"/>
    </row>
    <row r="22" ht="30" customHeight="1" s="11">
      <c r="A22" s="2">
        <f>IF(B22="","",ROW()-7)</f>
        <v/>
      </c>
      <c r="B22" s="3" t="n"/>
      <c r="C22" s="3" t="n"/>
      <c r="D22" s="3" t="n"/>
      <c r="E22" s="4" t="n"/>
      <c r="F22" s="3" t="n"/>
      <c r="G22" s="3" t="n"/>
      <c r="H22" s="2" t="n"/>
      <c r="I22" s="3" t="n"/>
      <c r="J22" s="5" t="n"/>
      <c r="K22" s="3" t="n"/>
      <c r="L22" s="2" t="n"/>
      <c r="M22" s="3" t="n"/>
      <c r="N22" s="2" t="n"/>
      <c r="O22" s="2" t="n"/>
      <c r="P22" s="2" t="n"/>
      <c r="Q22" s="3" t="n"/>
      <c r="R22" s="3" t="n"/>
    </row>
    <row r="23" ht="30" customHeight="1" s="11">
      <c r="A23" s="2">
        <f>IF(B23="","",ROW()-7)</f>
        <v/>
      </c>
      <c r="B23" s="3" t="n"/>
      <c r="C23" s="3" t="n"/>
      <c r="D23" s="3" t="n"/>
      <c r="E23" s="4" t="n"/>
      <c r="F23" s="3" t="n"/>
      <c r="G23" s="3" t="n"/>
      <c r="H23" s="2" t="n"/>
      <c r="I23" s="3" t="n"/>
      <c r="J23" s="5" t="n"/>
      <c r="K23" s="3" t="n"/>
      <c r="L23" s="2" t="n"/>
      <c r="M23" s="3" t="n"/>
      <c r="N23" s="2" t="n"/>
      <c r="O23" s="2" t="n"/>
      <c r="P23" s="2" t="n"/>
      <c r="Q23" s="3" t="n"/>
      <c r="R23" s="3" t="n"/>
    </row>
    <row r="24" ht="30" customHeight="1" s="11">
      <c r="A24" s="2">
        <f>IF(B24="","",ROW()-7)</f>
        <v/>
      </c>
      <c r="B24" s="3" t="n"/>
      <c r="C24" s="3" t="n"/>
      <c r="D24" s="3" t="n"/>
      <c r="E24" s="4" t="n"/>
      <c r="F24" s="3" t="n"/>
      <c r="G24" s="3" t="n"/>
      <c r="H24" s="2" t="n"/>
      <c r="I24" s="3" t="n"/>
      <c r="J24" s="5" t="n"/>
      <c r="K24" s="3" t="n"/>
      <c r="L24" s="2" t="n"/>
      <c r="M24" s="3" t="n"/>
      <c r="N24" s="2" t="n"/>
      <c r="O24" s="2" t="n"/>
      <c r="P24" s="2" t="n"/>
      <c r="Q24" s="3" t="n"/>
      <c r="R24" s="3" t="n"/>
    </row>
    <row r="25" ht="30" customHeight="1" s="11">
      <c r="A25" s="2">
        <f>IF(B25="","",ROW()-7)</f>
        <v/>
      </c>
      <c r="B25" s="3" t="n"/>
      <c r="C25" s="3" t="n"/>
      <c r="D25" s="3" t="n"/>
      <c r="E25" s="4" t="n"/>
      <c r="F25" s="3" t="n"/>
      <c r="G25" s="3" t="n"/>
      <c r="H25" s="2" t="n"/>
      <c r="I25" s="3" t="n"/>
      <c r="J25" s="5" t="n"/>
      <c r="K25" s="3" t="n"/>
      <c r="L25" s="2" t="n"/>
      <c r="M25" s="3" t="n"/>
      <c r="N25" s="2" t="n"/>
      <c r="O25" s="2" t="n"/>
      <c r="P25" s="2" t="n"/>
      <c r="Q25" s="3" t="n"/>
      <c r="R25" s="3" t="n"/>
    </row>
    <row r="26" ht="30" customHeight="1" s="11">
      <c r="A26" s="2">
        <f>IF(B26="","",ROW()-7)</f>
        <v/>
      </c>
      <c r="B26" s="3" t="n"/>
      <c r="C26" s="3" t="n"/>
      <c r="D26" s="3" t="n"/>
      <c r="E26" s="4" t="n"/>
      <c r="F26" s="3" t="n"/>
      <c r="G26" s="3" t="n"/>
      <c r="H26" s="2" t="n"/>
      <c r="I26" s="3" t="n"/>
      <c r="J26" s="5" t="n"/>
      <c r="K26" s="3" t="n"/>
      <c r="L26" s="2" t="n"/>
      <c r="M26" s="3" t="n"/>
      <c r="N26" s="2" t="n"/>
      <c r="O26" s="2" t="n"/>
      <c r="P26" s="2" t="n"/>
      <c r="Q26" s="3" t="n"/>
      <c r="R26" s="3" t="n"/>
    </row>
    <row r="27" ht="30" customHeight="1" s="11">
      <c r="A27" s="2">
        <f>IF(B27="","",ROW()-7)</f>
        <v/>
      </c>
      <c r="B27" s="3" t="n"/>
      <c r="C27" s="3" t="n"/>
      <c r="D27" s="3" t="n"/>
      <c r="E27" s="4" t="n"/>
      <c r="F27" s="3" t="n"/>
      <c r="G27" s="3" t="n"/>
      <c r="H27" s="2" t="n"/>
      <c r="I27" s="3" t="n"/>
      <c r="J27" s="5" t="n"/>
      <c r="K27" s="3" t="n"/>
      <c r="L27" s="2" t="n"/>
      <c r="M27" s="3" t="n"/>
      <c r="N27" s="2" t="n"/>
      <c r="O27" s="2" t="n"/>
      <c r="P27" s="2" t="n"/>
      <c r="Q27" s="3" t="n"/>
      <c r="R27" s="3" t="n"/>
    </row>
    <row r="28" ht="30" customHeight="1" s="11">
      <c r="A28" s="2">
        <f>IF(B28="","",ROW()-7)</f>
        <v/>
      </c>
      <c r="B28" s="3" t="n"/>
      <c r="C28" s="3" t="n"/>
      <c r="D28" s="3" t="n"/>
      <c r="E28" s="4" t="n"/>
      <c r="F28" s="3" t="n"/>
      <c r="G28" s="3" t="n"/>
      <c r="H28" s="2" t="n"/>
      <c r="I28" s="3" t="n"/>
      <c r="J28" s="5" t="n"/>
      <c r="K28" s="3" t="n"/>
      <c r="L28" s="2" t="n"/>
      <c r="M28" s="3" t="n"/>
      <c r="N28" s="2" t="n"/>
      <c r="O28" s="2" t="n"/>
      <c r="P28" s="2" t="n"/>
      <c r="Q28" s="3" t="n"/>
      <c r="R28" s="3" t="n"/>
    </row>
    <row r="29" ht="30" customHeight="1" s="11">
      <c r="A29" s="2">
        <f>IF(B29="","",ROW()-7)</f>
        <v/>
      </c>
      <c r="B29" s="3" t="n"/>
      <c r="C29" s="3" t="n"/>
      <c r="D29" s="3" t="n"/>
      <c r="E29" s="4" t="n"/>
      <c r="F29" s="3" t="n"/>
      <c r="G29" s="3" t="n"/>
      <c r="H29" s="2" t="n"/>
      <c r="I29" s="3" t="n"/>
      <c r="J29" s="5" t="n"/>
      <c r="K29" s="3" t="n"/>
      <c r="L29" s="2" t="n"/>
      <c r="M29" s="3" t="n"/>
      <c r="N29" s="2" t="n"/>
      <c r="O29" s="2" t="n"/>
      <c r="P29" s="2" t="n"/>
      <c r="Q29" s="3" t="n"/>
      <c r="R29" s="3" t="n"/>
    </row>
    <row r="30" ht="30" customHeight="1" s="11">
      <c r="A30" s="2">
        <f>IF(B30="","",ROW()-7)</f>
        <v/>
      </c>
      <c r="B30" s="3" t="n"/>
      <c r="C30" s="3" t="n"/>
      <c r="D30" s="3" t="n"/>
      <c r="E30" s="4" t="n"/>
      <c r="F30" s="3" t="n"/>
      <c r="G30" s="3" t="n"/>
      <c r="H30" s="2" t="n"/>
      <c r="I30" s="3" t="n"/>
      <c r="J30" s="5" t="n"/>
      <c r="K30" s="3" t="n"/>
      <c r="L30" s="2" t="n"/>
      <c r="M30" s="3" t="n"/>
      <c r="N30" s="2" t="n"/>
      <c r="O30" s="2" t="n"/>
      <c r="P30" s="2" t="n"/>
      <c r="Q30" s="3" t="n"/>
      <c r="R30" s="3" t="n"/>
    </row>
    <row r="31" ht="30" customHeight="1" s="11">
      <c r="A31" s="2">
        <f>IF(B31="","",ROW()-7)</f>
        <v/>
      </c>
      <c r="B31" s="3" t="n"/>
      <c r="C31" s="3" t="n"/>
      <c r="D31" s="3" t="n"/>
      <c r="E31" s="4" t="n"/>
      <c r="F31" s="3" t="n"/>
      <c r="G31" s="3" t="n"/>
      <c r="H31" s="2" t="n"/>
      <c r="I31" s="3" t="n"/>
      <c r="J31" s="5" t="n"/>
      <c r="K31" s="3" t="n"/>
      <c r="L31" s="2" t="n"/>
      <c r="M31" s="3" t="n"/>
      <c r="N31" s="2" t="n"/>
      <c r="O31" s="2" t="n"/>
      <c r="P31" s="2" t="n"/>
      <c r="Q31" s="3" t="n"/>
      <c r="R31" s="3" t="n"/>
    </row>
    <row r="32" ht="30" customHeight="1" s="11">
      <c r="A32" s="2">
        <f>IF(B32="","",ROW()-7)</f>
        <v/>
      </c>
      <c r="B32" s="3" t="n"/>
      <c r="C32" s="3" t="n"/>
      <c r="D32" s="3" t="n"/>
      <c r="E32" s="4" t="n"/>
      <c r="F32" s="3" t="n"/>
      <c r="G32" s="3" t="n"/>
      <c r="H32" s="2" t="n"/>
      <c r="I32" s="3" t="n"/>
      <c r="J32" s="5" t="n"/>
      <c r="K32" s="3" t="n"/>
      <c r="L32" s="2" t="n"/>
      <c r="M32" s="3" t="n"/>
      <c r="N32" s="2" t="n"/>
      <c r="O32" s="2" t="n"/>
      <c r="P32" s="2" t="n"/>
      <c r="Q32" s="3" t="n"/>
      <c r="R32" s="3" t="n"/>
    </row>
    <row r="35">
      <c r="B35" s="15" t="inlineStr">
        <is>
          <t>NGƯỜI LẬP BIỂU</t>
        </is>
      </c>
      <c r="O35" s="15" t="inlineStr">
        <is>
          <t>THỦ TRƯỞNG ĐƠN VỊ</t>
        </is>
      </c>
    </row>
    <row r="36">
      <c r="B36" s="16" t="inlineStr">
        <is>
          <t>(Ký, ghi rõ họ tên)</t>
        </is>
      </c>
      <c r="O36" s="16" t="inlineStr">
        <is>
          <t>(Ký, đóng dấu)</t>
        </is>
      </c>
    </row>
  </sheetData>
  <mergeCells count="10">
    <mergeCell ref="A4:B4"/>
    <mergeCell ref="O35:R35"/>
    <mergeCell ref="B36:D36"/>
    <mergeCell ref="O36:R36"/>
    <mergeCell ref="A2:R2"/>
    <mergeCell ref="C4:F4"/>
    <mergeCell ref="B35:D35"/>
    <mergeCell ref="A5:B5"/>
    <mergeCell ref="A1:R1"/>
    <mergeCell ref="C5:F5"/>
  </mergeCells>
  <dataValidations count="7">
    <dataValidation sqref="H8:H107" showDropDown="0" showInputMessage="0" showErrorMessage="0" allowBlank="1" type="list">
      <formula1>"LAN,WAN,Internet,LAN + Internet"</formula1>
      <formula2>0</formula2>
    </dataValidation>
    <dataValidation sqref="K8:K107" showDropDown="0" showInputMessage="0" showErrorMessage="0" allowBlank="1" type="list">
      <formula1>"Nghiệp vụ,Dữ liệu cá nhân,Bí mật nhà nước,Khác"</formula1>
      <formula2>0</formula2>
    </dataValidation>
    <dataValidation sqref="L8:L107" showDropDown="0" showInputMessage="0" showErrorMessage="0" allowBlank="1" type="list">
      <formula1>"Có,Không"</formula1>
      <formula2>0</formula2>
    </dataValidation>
    <dataValidation sqref="N8:N107" showDropDown="0" showInputMessage="0" showErrorMessage="0" allowBlank="1" type="list">
      <formula1>"Chưa xác định,Cấp độ 1,Cấp độ 2,Cấp độ 3,Cấp độ 4,Cấp độ 5"</formula1>
      <formula2>0</formula2>
    </dataValidation>
    <dataValidation sqref="O8:O107" showDropDown="0" showInputMessage="0" showErrorMessage="0" allowBlank="1" type="list">
      <formula1>"Có,Không"</formula1>
      <formula2>0</formula2>
    </dataValidation>
    <dataValidation sqref="P8:P107" showDropDown="0" showInputMessage="0" showErrorMessage="0" allowBlank="1" type="list">
      <formula1>"Có,Không"</formula1>
      <formula2>0</formula2>
    </dataValidation>
    <dataValidation sqref="R8:R107" showDropDown="0" showInputMessage="0" showErrorMessage="0" allowBlank="1" type="list">
      <formula1>"Duy trì,Nâng cấp,Dừng công khai Internet,Dừng sử dụng"</formula1>
      <formula2>0</formula2>
    </dataValidation>
  </dataValidations>
  <pageMargins left="0.75" right="0.75" top="1" bottom="1" header="0.511811023622047" footer="0.511811023622047"/>
  <pageSetup orientation="landscape" paperSize="9" horizontalDpi="300" verticalDpi="300"/>
</worksheet>
</file>

<file path=xl/worksheets/sheet2.xml><?xml version="1.0" encoding="utf-8"?>
<worksheet xmlns="http://schemas.openxmlformats.org/spreadsheetml/2006/main">
  <sheetPr>
    <outlinePr summaryBelow="1" summaryRight="1"/>
    <pageSetUpPr/>
  </sheetPr>
  <dimension ref="A1:C13"/>
  <sheetViews>
    <sheetView zoomScale="160" zoomScaleNormal="160" workbookViewId="0">
      <selection activeCell="C15" sqref="C15"/>
    </sheetView>
  </sheetViews>
  <sheetFormatPr baseColWidth="8" defaultColWidth="8.7109375" defaultRowHeight="15"/>
  <cols>
    <col width="46" customWidth="1" style="11" min="1" max="1"/>
    <col width="16" customWidth="1" style="11" min="2" max="2"/>
  </cols>
  <sheetData>
    <row r="1" ht="18.75" customHeight="1" s="11">
      <c r="A1" s="22" t="inlineStr">
        <is>
          <t>BẢNG TỔNG HỢP TỰ ĐỘNG</t>
        </is>
      </c>
    </row>
    <row r="2" s="11">
      <c r="A2" s="12" t="inlineStr">
        <is>
          <t>Chỉ tiêu</t>
        </is>
      </c>
      <c r="B2" s="12" t="inlineStr">
        <is>
          <t>Kết quả</t>
        </is>
      </c>
    </row>
    <row r="3">
      <c r="A3" s="6" t="inlineStr">
        <is>
          <t>Tổng số phần mềm/ứng dụng tự xây dựng</t>
        </is>
      </c>
      <c r="B3" s="7">
        <f>COUNTA(BIEU_RA_SOAT!B8:B30)</f>
        <v/>
      </c>
    </row>
    <row r="4">
      <c r="A4" s="6" t="inlineStr">
        <is>
          <t>Số ứng dụng công khai ra Internet</t>
        </is>
      </c>
      <c r="B4" s="7">
        <f>COUNTIF(BIEU_RA_SOAT!H8:H107,"*Internet*")</f>
        <v/>
      </c>
    </row>
    <row r="5">
      <c r="A5" s="6" t="inlineStr">
        <is>
          <t>Số ứng dụng ĐÃ kiểm tra, đánh giá ATTT</t>
        </is>
      </c>
      <c r="B5" s="7">
        <f>COUNTIF(BIEU_RA_SOAT!L8:L107,"Có")</f>
        <v/>
      </c>
    </row>
    <row r="6">
      <c r="A6" s="6" t="inlineStr">
        <is>
          <t>Số ứng dụng CHƯA kiểm tra, đánh giá ATTT</t>
        </is>
      </c>
      <c r="B6" s="7">
        <f>COUNTIF(BIEU_RA_SOAT!L8:L107,"Không")</f>
        <v/>
      </c>
    </row>
    <row r="7">
      <c r="A7" s="6" t="inlineStr">
        <is>
          <t>Số ứng dụng chưa xác định cấp độ ATTT</t>
        </is>
      </c>
      <c r="B7" s="7">
        <f>COUNTIF(BIEU_RA_SOAT!N8:N107,"Chưa xác định")</f>
        <v/>
      </c>
    </row>
    <row r="8">
      <c r="A8" s="6" t="inlineStr">
        <is>
          <t>Số ứng dụng chưa cập nhật bản vá định kỳ</t>
        </is>
      </c>
      <c r="B8" s="7">
        <f>COUNTIF(BIEU_RA_SOAT!O8:O107,"Không")</f>
        <v/>
      </c>
    </row>
    <row r="9">
      <c r="A9" s="6" t="inlineStr">
        <is>
          <t>Số ứng dụng chưa có ghi nhật ký, giám sát</t>
        </is>
      </c>
      <c r="B9" s="7">
        <f>COUNTIF(BIEU_RA_SOAT!P8:P107,"Không")</f>
        <v/>
      </c>
    </row>
    <row r="10">
      <c r="A10" s="6" t="inlineStr">
        <is>
          <t>Tỷ lệ ứng dụng đã đánh giá ATTT</t>
        </is>
      </c>
      <c r="B10" s="8">
        <f>IFERROR(B5/B3,0)</f>
        <v/>
      </c>
    </row>
    <row r="11">
      <c r="A11" s="6" t="inlineStr">
        <is>
          <t>Số ứng dụng đề xuất dừng công khai Internet</t>
        </is>
      </c>
      <c r="B11" s="7">
        <f>COUNTIF(BIEU_RA_SOAT!R8:R107,"Dừng công khai Internet")</f>
        <v/>
      </c>
    </row>
    <row r="13">
      <c r="A13" s="1" t="inlineStr">
        <is>
          <t>Lưu ý: Bảng này tự động tính từ sheet BIEU_RA_SOAT, không cần nhập tay.</t>
        </is>
      </c>
    </row>
  </sheetData>
  <mergeCells count="1">
    <mergeCell ref="A1:C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12"/>
  <sheetViews>
    <sheetView zoomScaleNormal="100" workbookViewId="0">
      <selection activeCell="B17" sqref="B17"/>
    </sheetView>
  </sheetViews>
  <sheetFormatPr baseColWidth="8" defaultColWidth="8.7109375" defaultRowHeight="15"/>
  <cols>
    <col width="6" customWidth="1" style="11" min="1" max="1"/>
    <col width="110" customWidth="1" style="11" min="2" max="2"/>
  </cols>
  <sheetData>
    <row r="1" ht="18.75" customHeight="1" s="11">
      <c r="A1" s="22" t="inlineStr">
        <is>
          <t>HƯỚNG DẪN ĐIỀN BIỂU</t>
        </is>
      </c>
    </row>
    <row r="3" ht="31.5" customHeight="1" s="11">
      <c r="A3" s="9" t="inlineStr">
        <is>
          <t>1.</t>
        </is>
      </c>
      <c r="B3" s="10" t="inlineStr">
        <is>
          <t>Mỗi phần mềm/ứng dụng tự xây dựng ghi trên 01 dòng tại sheet BIEU_RA_SOAT (bắt đầu từ dòng 8).</t>
        </is>
      </c>
    </row>
    <row r="4" ht="31.5" customHeight="1" s="11">
      <c r="A4" s="9" t="inlineStr">
        <is>
          <t>2.</t>
        </is>
      </c>
      <c r="B4" s="10" t="inlineStr">
        <is>
          <t>Cột STT tự động đánh số khi cột "Tên phần mềm/ứng dụng" có dữ liệu — không cần gõ tay.</t>
        </is>
      </c>
    </row>
    <row r="5" ht="31.5" customHeight="1" s="11">
      <c r="A5" s="9" t="inlineStr">
        <is>
          <t>3.</t>
        </is>
      </c>
      <c r="B5" s="10" t="inlineStr">
        <is>
          <t>Các cột Phạm vi truy cập, Loại dữ liệu, Đánh giá ATTT, Cấp độ ATTT, Bản vá, Nhật ký, Đề xuất: chọn từ danh sách xổ xuống.</t>
        </is>
      </c>
    </row>
    <row r="6" ht="31.5" customHeight="1" s="11">
      <c r="A6" s="9" t="inlineStr">
        <is>
          <t>4.</t>
        </is>
      </c>
      <c r="B6" s="10" t="inlineStr">
        <is>
          <t>Cột "Thời điểm đưa vào sử dụng": nhập theo định dạng ngày/tháng/năm (VD: 15/03/2025).</t>
        </is>
      </c>
    </row>
    <row r="7" ht="31.5" customHeight="1" s="11">
      <c r="A7" s="9" t="inlineStr">
        <is>
          <t>5.</t>
        </is>
      </c>
      <c r="B7" s="10" t="inlineStr">
        <is>
          <t>Cột "Số văn bản phê duyệt đánh giá ATTT": ghi số, ký hiệu, ngày văn bản. Nếu chưa có thì để trống.</t>
        </is>
      </c>
    </row>
    <row r="8" ht="31.5" customHeight="1" s="11">
      <c r="A8" s="9" t="inlineStr">
        <is>
          <t>6.</t>
        </is>
      </c>
      <c r="B8" s="10" t="inlineStr">
        <is>
          <t>Phần mềm tự xây dựng bao gồm cả phần mềm do công chức đơn vị tự viết và phần mềm thuê ngoài xây dựng riêng cho đơn vị.</t>
        </is>
      </c>
    </row>
    <row r="9" ht="31.5" customHeight="1" s="11">
      <c r="A9" s="9" t="inlineStr">
        <is>
          <t>7.</t>
        </is>
      </c>
      <c r="B9" s="10" t="inlineStr">
        <is>
          <t>Đơn vị KHÔNG có phần mềm tự xây dựng vẫn phải báo cáo, ghi rõ "Không có" tại dòng 8 cột B.</t>
        </is>
      </c>
    </row>
    <row r="10" ht="31.5" customHeight="1" s="11">
      <c r="A10" s="9" t="inlineStr">
        <is>
          <t>8.</t>
        </is>
      </c>
      <c r="B10" s="10" t="inlineStr">
        <is>
          <t>Sheet TONG_HOP tự động tính toán — đơn vị không cần nhập.</t>
        </is>
      </c>
    </row>
    <row r="11" ht="31.5" customHeight="1" s="11">
      <c r="A11" s="9" t="inlineStr">
        <is>
          <t>9.</t>
        </is>
      </c>
      <c r="B11" s="10" t="inlineStr">
        <is>
          <t>File hoàn thành gửi về Phòng Công nghệ thông tin (bản điện tử .xlsx + bản giấy có ký, đóng dấu).</t>
        </is>
      </c>
    </row>
    <row r="12" ht="31.5" customHeight="1" s="11">
      <c r="A12" s="9" t="inlineStr">
        <is>
          <t>10.</t>
        </is>
      </c>
      <c r="B12" s="10" t="inlineStr">
        <is>
          <t>Căn cứ: Công văn số 20228/CHQ-CNTT ngày 12/8/2026 của Cục Hải quan; Quyết định số 1804/QĐ-TCHQ ngày 31/7/2024.</t>
        </is>
      </c>
    </row>
  </sheetData>
  <mergeCells count="1">
    <mergeCell ref="A1:B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2026-08-13T08:44:37Z</dcterms:created>
  <dcterms:modified xmlns:dcterms="http://purl.org/dc/terms/" xmlns:xsi="http://www.w3.org/2001/XMLSchema-instance" xsi:type="dcterms:W3CDTF">2026-08-25T07:11:32Z</dcterms:modified>
  <cp:lastModifiedBy>Admin</cp:lastModifiedBy>
  <cp:revision>0</cp:revision>
</cp:coreProperties>
</file>